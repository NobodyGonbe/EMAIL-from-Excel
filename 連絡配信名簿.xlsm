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chiha\Desktop\"/>
    </mc:Choice>
  </mc:AlternateContent>
  <xr:revisionPtr revIDLastSave="0" documentId="13_ncr:1_{690BE1A9-8D10-4DF3-B1FC-9D5B1176FC98}" xr6:coauthVersionLast="45" xr6:coauthVersionMax="45" xr10:uidLastSave="{00000000-0000-0000-0000-000000000000}"/>
  <bookViews>
    <workbookView xWindow="0" yWindow="0" windowWidth="28800" windowHeight="15600" activeTab="1" xr2:uid="{3640EA47-AB07-4485-B430-114F37C793F5}"/>
  </bookViews>
  <sheets>
    <sheet name="住所録" sheetId="3" r:id="rId1"/>
    <sheet name="メール配信" sheetId="4" r:id="rId2"/>
    <sheet name="FAX作成" sheetId="5" r:id="rId3"/>
    <sheet name="仕様書" sheetId="6" r:id="rId4"/>
  </sheets>
  <definedNames>
    <definedName name="_xlnm.Print_Area" localSheetId="2">FAX作成!$A$4:$G$38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3" l="1"/>
  <c r="P5" i="3"/>
  <c r="P6" i="3"/>
  <c r="P7" i="3"/>
  <c r="H4" i="4" l="1"/>
  <c r="H3" i="4"/>
  <c r="I4" i="5" l="1"/>
  <c r="I3" i="5"/>
  <c r="E4" i="5" l="1"/>
  <c r="B7" i="5"/>
  <c r="B6" i="5" s="1"/>
  <c r="C6" i="5" s="1"/>
  <c r="B3" i="4"/>
  <c r="B11" i="4" s="1"/>
  <c r="B12" i="4" l="1"/>
  <c r="B5" i="5"/>
  <c r="C5" i="5" s="1"/>
  <c r="C4" i="5" s="1"/>
  <c r="O4" i="3"/>
  <c r="O5" i="3"/>
  <c r="O6" i="3"/>
  <c r="O7" i="3"/>
  <c r="B5" i="4"/>
  <c r="B4" i="4"/>
  <c r="B10" i="4" l="1"/>
  <c r="B4" i="5"/>
  <c r="C12" i="4"/>
  <c r="C11" i="4" l="1"/>
  <c r="C10" i="4" s="1"/>
</calcChain>
</file>

<file path=xl/sharedStrings.xml><?xml version="1.0" encoding="utf-8"?>
<sst xmlns="http://schemas.openxmlformats.org/spreadsheetml/2006/main" count="237" uniqueCount="203">
  <si>
    <t>氏名</t>
    <rPh sb="0" eb="2">
      <t>シメイ</t>
    </rPh>
    <phoneticPr fontId="2"/>
  </si>
  <si>
    <t>TEL</t>
    <phoneticPr fontId="2"/>
  </si>
  <si>
    <t>FAX</t>
    <phoneticPr fontId="2"/>
  </si>
  <si>
    <t>MAIL</t>
    <phoneticPr fontId="2"/>
  </si>
  <si>
    <t>部署</t>
    <rPh sb="0" eb="2">
      <t>ブショ</t>
    </rPh>
    <phoneticPr fontId="2"/>
  </si>
  <si>
    <t>配信可否</t>
    <rPh sb="0" eb="2">
      <t>ハイシン</t>
    </rPh>
    <rPh sb="2" eb="4">
      <t>カヒ</t>
    </rPh>
    <phoneticPr fontId="2"/>
  </si>
  <si>
    <t>株式会社</t>
    <rPh sb="0" eb="4">
      <t>カブシキガイシャ</t>
    </rPh>
    <phoneticPr fontId="2"/>
  </si>
  <si>
    <t>有限会社</t>
    <rPh sb="0" eb="4">
      <t>ユウゲンガイシャ</t>
    </rPh>
    <phoneticPr fontId="2"/>
  </si>
  <si>
    <t>会社種別</t>
    <rPh sb="0" eb="2">
      <t>カイシャ</t>
    </rPh>
    <rPh sb="2" eb="4">
      <t>シュベツ</t>
    </rPh>
    <phoneticPr fontId="2"/>
  </si>
  <si>
    <t>種別前後</t>
    <rPh sb="0" eb="2">
      <t>シュベツ</t>
    </rPh>
    <rPh sb="2" eb="4">
      <t>ゼンゴ</t>
    </rPh>
    <phoneticPr fontId="2"/>
  </si>
  <si>
    <t>前</t>
    <rPh sb="0" eb="1">
      <t>マエ</t>
    </rPh>
    <phoneticPr fontId="2"/>
  </si>
  <si>
    <t>後</t>
    <rPh sb="0" eb="1">
      <t>ウシ</t>
    </rPh>
    <phoneticPr fontId="2"/>
  </si>
  <si>
    <t>合同会社</t>
    <rPh sb="0" eb="2">
      <t>ゴウドウ</t>
    </rPh>
    <rPh sb="2" eb="4">
      <t>ガイシャ</t>
    </rPh>
    <phoneticPr fontId="2"/>
  </si>
  <si>
    <t>合名会社</t>
    <rPh sb="0" eb="2">
      <t>ゴウメイ</t>
    </rPh>
    <rPh sb="2" eb="4">
      <t>ガイシャ</t>
    </rPh>
    <phoneticPr fontId="2"/>
  </si>
  <si>
    <t>合資会社</t>
    <rPh sb="0" eb="2">
      <t>ゴウシ</t>
    </rPh>
    <rPh sb="2" eb="4">
      <t>ガイシャ</t>
    </rPh>
    <phoneticPr fontId="2"/>
  </si>
  <si>
    <t>社団法人</t>
    <rPh sb="0" eb="4">
      <t>シャダンホウジン</t>
    </rPh>
    <phoneticPr fontId="2"/>
  </si>
  <si>
    <t>会社名</t>
    <rPh sb="0" eb="3">
      <t>カイシャメイ</t>
    </rPh>
    <phoneticPr fontId="2"/>
  </si>
  <si>
    <t>役職</t>
    <rPh sb="0" eb="2">
      <t>ヤクショク</t>
    </rPh>
    <phoneticPr fontId="2"/>
  </si>
  <si>
    <t>配信</t>
    <rPh sb="0" eb="2">
      <t>ハイシン</t>
    </rPh>
    <phoneticPr fontId="2"/>
  </si>
  <si>
    <t>No.</t>
    <phoneticPr fontId="2"/>
  </si>
  <si>
    <t>〇</t>
    <phoneticPr fontId="2"/>
  </si>
  <si>
    <t>×</t>
    <phoneticPr fontId="2"/>
  </si>
  <si>
    <t>郵便番号</t>
    <rPh sb="0" eb="4">
      <t>ユウビンバンゴウ</t>
    </rPh>
    <phoneticPr fontId="2"/>
  </si>
  <si>
    <t>住所</t>
    <rPh sb="0" eb="2">
      <t>ジュウショ</t>
    </rPh>
    <phoneticPr fontId="2"/>
  </si>
  <si>
    <t>住所禄</t>
    <rPh sb="0" eb="2">
      <t>ジュウショ</t>
    </rPh>
    <rPh sb="2" eb="3">
      <t>ロク</t>
    </rPh>
    <phoneticPr fontId="2"/>
  </si>
  <si>
    <t>配信種別</t>
    <rPh sb="0" eb="2">
      <t>ハイシン</t>
    </rPh>
    <rPh sb="2" eb="4">
      <t>シュベツ</t>
    </rPh>
    <phoneticPr fontId="2"/>
  </si>
  <si>
    <t>MAIL</t>
  </si>
  <si>
    <t>FAX</t>
  </si>
  <si>
    <t>TEL</t>
  </si>
  <si>
    <t>入力リスト</t>
    <rPh sb="0" eb="2">
      <t>ニュウリョク</t>
    </rPh>
    <phoneticPr fontId="2"/>
  </si>
  <si>
    <t>NPO法人</t>
    <rPh sb="3" eb="5">
      <t>ホウジン</t>
    </rPh>
    <phoneticPr fontId="2"/>
  </si>
  <si>
    <t>メール内容</t>
    <rPh sb="3" eb="5">
      <t>ナイヨウ</t>
    </rPh>
    <phoneticPr fontId="2"/>
  </si>
  <si>
    <t>Cc:</t>
    <phoneticPr fontId="2"/>
  </si>
  <si>
    <t>To:</t>
    <phoneticPr fontId="2"/>
  </si>
  <si>
    <t>Bcc:</t>
    <phoneticPr fontId="2"/>
  </si>
  <si>
    <t>件名</t>
    <rPh sb="0" eb="2">
      <t>ケンメイ</t>
    </rPh>
    <phoneticPr fontId="2"/>
  </si>
  <si>
    <t>本文</t>
    <rPh sb="0" eb="2">
      <t>ホンブン</t>
    </rPh>
    <phoneticPr fontId="2"/>
  </si>
  <si>
    <t>番号から検索</t>
    <rPh sb="0" eb="2">
      <t>バンゴウ</t>
    </rPh>
    <rPh sb="4" eb="6">
      <t>ケンサク</t>
    </rPh>
    <phoneticPr fontId="2"/>
  </si>
  <si>
    <t>名前から検索</t>
    <rPh sb="0" eb="2">
      <t>ナマエ</t>
    </rPh>
    <rPh sb="4" eb="6">
      <t>ケンサク</t>
    </rPh>
    <phoneticPr fontId="2"/>
  </si>
  <si>
    <t>添付ファイル１</t>
    <rPh sb="0" eb="2">
      <t>テンプ</t>
    </rPh>
    <phoneticPr fontId="2"/>
  </si>
  <si>
    <t>添付ファイル２</t>
    <rPh sb="0" eb="2">
      <t>テンプ</t>
    </rPh>
    <phoneticPr fontId="2"/>
  </si>
  <si>
    <t>添付ファイル３</t>
    <rPh sb="0" eb="2">
      <t>テンプ</t>
    </rPh>
    <phoneticPr fontId="2"/>
  </si>
  <si>
    <t>署名</t>
    <rPh sb="0" eb="2">
      <t>ショメイ</t>
    </rPh>
    <phoneticPr fontId="2"/>
  </si>
  <si>
    <t>FAX作成</t>
    <rPh sb="3" eb="5">
      <t>サクセイ</t>
    </rPh>
    <phoneticPr fontId="2"/>
  </si>
  <si>
    <t>mail1</t>
    <phoneticPr fontId="2"/>
  </si>
  <si>
    <t>mail2</t>
    <phoneticPr fontId="2"/>
  </si>
  <si>
    <t>mail3</t>
    <phoneticPr fontId="2"/>
  </si>
  <si>
    <t>名前１</t>
    <rPh sb="0" eb="2">
      <t>ナマエ</t>
    </rPh>
    <phoneticPr fontId="2"/>
  </si>
  <si>
    <t>名前３</t>
    <rPh sb="0" eb="2">
      <t>ナマエ</t>
    </rPh>
    <phoneticPr fontId="2"/>
  </si>
  <si>
    <t>会社名2</t>
    <rPh sb="0" eb="4">
      <t>カイシャメイ2</t>
    </rPh>
    <phoneticPr fontId="2"/>
  </si>
  <si>
    <t>会社１</t>
    <rPh sb="0" eb="2">
      <t>カイシャ</t>
    </rPh>
    <phoneticPr fontId="2"/>
  </si>
  <si>
    <t>会社２</t>
    <rPh sb="0" eb="2">
      <t>カイシャ</t>
    </rPh>
    <phoneticPr fontId="2"/>
  </si>
  <si>
    <t>会社４</t>
    <rPh sb="0" eb="2">
      <t>カイシャ</t>
    </rPh>
    <phoneticPr fontId="2"/>
  </si>
  <si>
    <t>部署２</t>
    <rPh sb="0" eb="2">
      <t>ブショ</t>
    </rPh>
    <phoneticPr fontId="2"/>
  </si>
  <si>
    <t>役職１</t>
    <rPh sb="0" eb="2">
      <t>ヤクショク</t>
    </rPh>
    <phoneticPr fontId="2"/>
  </si>
  <si>
    <t>部署１</t>
    <rPh sb="0" eb="2">
      <t>ブショ</t>
    </rPh>
    <phoneticPr fontId="2"/>
  </si>
  <si>
    <t>TEL１</t>
    <phoneticPr fontId="2"/>
  </si>
  <si>
    <t>TEL２</t>
  </si>
  <si>
    <t>TEL３</t>
  </si>
  <si>
    <t>TEL４</t>
  </si>
  <si>
    <t>FAX1</t>
    <phoneticPr fontId="2"/>
  </si>
  <si>
    <t>FAX2</t>
  </si>
  <si>
    <t>FAX3</t>
  </si>
  <si>
    <t>FAX4</t>
  </si>
  <si>
    <t>郵便１</t>
    <rPh sb="0" eb="2">
      <t>ユウビン</t>
    </rPh>
    <phoneticPr fontId="2"/>
  </si>
  <si>
    <t>住所１</t>
    <rPh sb="0" eb="2">
      <t>ジュウショ</t>
    </rPh>
    <phoneticPr fontId="2"/>
  </si>
  <si>
    <t>郵便２</t>
    <rPh sb="0" eb="2">
      <t>ユウビン</t>
    </rPh>
    <phoneticPr fontId="2"/>
  </si>
  <si>
    <t>住所２</t>
    <rPh sb="0" eb="2">
      <t>ジュウショ</t>
    </rPh>
    <phoneticPr fontId="2"/>
  </si>
  <si>
    <t>郵便３</t>
    <rPh sb="0" eb="2">
      <t>ユウビン</t>
    </rPh>
    <phoneticPr fontId="2"/>
  </si>
  <si>
    <t>住所３</t>
    <rPh sb="0" eb="2">
      <t>ジュウショ</t>
    </rPh>
    <phoneticPr fontId="2"/>
  </si>
  <si>
    <t>郵便４</t>
    <rPh sb="0" eb="2">
      <t>ユウビン</t>
    </rPh>
    <phoneticPr fontId="2"/>
  </si>
  <si>
    <t>住所４</t>
    <rPh sb="0" eb="2">
      <t>ジュウショ</t>
    </rPh>
    <phoneticPr fontId="2"/>
  </si>
  <si>
    <t>役職と氏名</t>
    <rPh sb="0" eb="2">
      <t>ヤクショク</t>
    </rPh>
    <rPh sb="3" eb="5">
      <t>シメイ</t>
    </rPh>
    <phoneticPr fontId="2"/>
  </si>
  <si>
    <t>◇--------------------------------------◇
〇×株式会社
TEL
FAX
MAIL
◇--------------------------------------◇</t>
    <phoneticPr fontId="2"/>
  </si>
  <si>
    <t>【〇×会社】イベント資料送付</t>
    <rPh sb="3" eb="5">
      <t>カイシャ</t>
    </rPh>
    <rPh sb="10" eb="12">
      <t>シリョウ</t>
    </rPh>
    <rPh sb="12" eb="14">
      <t>ソウフ</t>
    </rPh>
    <phoneticPr fontId="2"/>
  </si>
  <si>
    <t>部署名</t>
    <rPh sb="0" eb="3">
      <t>ブショメイ</t>
    </rPh>
    <phoneticPr fontId="2"/>
  </si>
  <si>
    <t>赤枠内のみ記入</t>
    <phoneticPr fontId="2"/>
  </si>
  <si>
    <t>内容</t>
    <rPh sb="0" eb="2">
      <t>ナイヨウ</t>
    </rPh>
    <phoneticPr fontId="2"/>
  </si>
  <si>
    <t>株式会社〇〇</t>
    <rPh sb="0" eb="4">
      <t>カブシキガイシャ</t>
    </rPh>
    <phoneticPr fontId="2"/>
  </si>
  <si>
    <t>〒〇〇〇ー〇〇〇〇</t>
    <phoneticPr fontId="2"/>
  </si>
  <si>
    <t>TEL:</t>
    <phoneticPr fontId="2"/>
  </si>
  <si>
    <t>FAX:</t>
    <phoneticPr fontId="2"/>
  </si>
  <si>
    <t>MAIL:</t>
    <phoneticPr fontId="2"/>
  </si>
  <si>
    <t>担当:</t>
    <rPh sb="0" eb="2">
      <t>タントウ</t>
    </rPh>
    <phoneticPr fontId="2"/>
  </si>
  <si>
    <t>住所:</t>
    <rPh sb="0" eb="2">
      <t>ジュウショ</t>
    </rPh>
    <phoneticPr fontId="2"/>
  </si>
  <si>
    <t>計算用</t>
    <rPh sb="0" eb="2">
      <t>ケイサン</t>
    </rPh>
    <rPh sb="2" eb="3">
      <t>ヨウ</t>
    </rPh>
    <phoneticPr fontId="2"/>
  </si>
  <si>
    <t>〇</t>
  </si>
  <si>
    <t>プログラム使用方法</t>
    <rPh sb="5" eb="7">
      <t>シヨウ</t>
    </rPh>
    <rPh sb="7" eb="9">
      <t>ホウホウ</t>
    </rPh>
    <phoneticPr fontId="2"/>
  </si>
  <si>
    <t>このエクセルファイルはVBA機能を使用します。</t>
    <rPh sb="14" eb="16">
      <t>キノウ</t>
    </rPh>
    <rPh sb="17" eb="19">
      <t>シヨウ</t>
    </rPh>
    <phoneticPr fontId="2"/>
  </si>
  <si>
    <t>リボン（操作用アイコンのある場所）を右クリックしリボンのユーザー設定から</t>
    <rPh sb="4" eb="6">
      <t>ソウサ</t>
    </rPh>
    <rPh sb="6" eb="7">
      <t>ヨウ</t>
    </rPh>
    <rPh sb="14" eb="16">
      <t>バショ</t>
    </rPh>
    <rPh sb="18" eb="19">
      <t>ミギ</t>
    </rPh>
    <rPh sb="32" eb="34">
      <t>セッテイ</t>
    </rPh>
    <phoneticPr fontId="2"/>
  </si>
  <si>
    <t>開発にチェックを入れ開発タブを表示してください。</t>
    <rPh sb="0" eb="2">
      <t>カイハツ</t>
    </rPh>
    <rPh sb="8" eb="9">
      <t>イ</t>
    </rPh>
    <rPh sb="10" eb="12">
      <t>カイハツ</t>
    </rPh>
    <rPh sb="15" eb="17">
      <t>ヒョウジ</t>
    </rPh>
    <phoneticPr fontId="2"/>
  </si>
  <si>
    <t>開発タブ→マクロのセキュリティ→警告を表示してすべてのマクロを無効にするにチェック</t>
    <rPh sb="0" eb="2">
      <t>カイハツ</t>
    </rPh>
    <rPh sb="16" eb="18">
      <t>ケイコク</t>
    </rPh>
    <rPh sb="19" eb="21">
      <t>ヒョウジ</t>
    </rPh>
    <rPh sb="31" eb="33">
      <t>ムコウ</t>
    </rPh>
    <phoneticPr fontId="2"/>
  </si>
  <si>
    <t>でVBA機能を使用することができます。</t>
    <rPh sb="4" eb="6">
      <t>キノウ</t>
    </rPh>
    <rPh sb="7" eb="9">
      <t>シヨウ</t>
    </rPh>
    <phoneticPr fontId="2"/>
  </si>
  <si>
    <t>④配信の可否を〇×で表現します。〇は配信可能です。</t>
    <rPh sb="1" eb="3">
      <t>ハイシン</t>
    </rPh>
    <rPh sb="4" eb="6">
      <t>カヒ</t>
    </rPh>
    <rPh sb="10" eb="12">
      <t>ヒョウゲン</t>
    </rPh>
    <rPh sb="18" eb="20">
      <t>ハイシン</t>
    </rPh>
    <rPh sb="20" eb="22">
      <t>カノウ</t>
    </rPh>
    <phoneticPr fontId="2"/>
  </si>
  <si>
    <t>①新しいデータを追加します。</t>
    <rPh sb="1" eb="2">
      <t>アタラ</t>
    </rPh>
    <rPh sb="8" eb="10">
      <t>ツイカ</t>
    </rPh>
    <phoneticPr fontId="2"/>
  </si>
  <si>
    <t>②④の配信の可否全てに〇を入力します。</t>
    <rPh sb="3" eb="5">
      <t>ハイシン</t>
    </rPh>
    <rPh sb="6" eb="8">
      <t>カヒ</t>
    </rPh>
    <rPh sb="8" eb="9">
      <t>スベ</t>
    </rPh>
    <rPh sb="13" eb="15">
      <t>ニュウリョク</t>
    </rPh>
    <phoneticPr fontId="2"/>
  </si>
  <si>
    <t>③④の配信の可否全てに×を入力します。</t>
    <rPh sb="3" eb="5">
      <t>ハイシン</t>
    </rPh>
    <rPh sb="6" eb="8">
      <t>カヒ</t>
    </rPh>
    <rPh sb="8" eb="9">
      <t>スベ</t>
    </rPh>
    <rPh sb="13" eb="15">
      <t>ニュウリョク</t>
    </rPh>
    <phoneticPr fontId="2"/>
  </si>
  <si>
    <t>⑤通し番号です。新しいデータ追加時に自動的に入力されます。</t>
    <rPh sb="1" eb="2">
      <t>トオ</t>
    </rPh>
    <rPh sb="3" eb="5">
      <t>バンゴウ</t>
    </rPh>
    <rPh sb="8" eb="9">
      <t>アタラ</t>
    </rPh>
    <rPh sb="14" eb="16">
      <t>ツイカ</t>
    </rPh>
    <rPh sb="16" eb="17">
      <t>ジ</t>
    </rPh>
    <rPh sb="18" eb="21">
      <t>ジドウテキ</t>
    </rPh>
    <rPh sb="22" eb="24">
      <t>ニュウリョク</t>
    </rPh>
    <phoneticPr fontId="2"/>
  </si>
  <si>
    <t>⑥会社種別です。プルダウンリストから選択します。</t>
    <rPh sb="1" eb="3">
      <t>カイシャ</t>
    </rPh>
    <rPh sb="3" eb="5">
      <t>シュベツ</t>
    </rPh>
    <rPh sb="18" eb="20">
      <t>センタク</t>
    </rPh>
    <phoneticPr fontId="2"/>
  </si>
  <si>
    <t>⑦会社種別が前につくか後ろにつくかを入力します。これにより会社名だけでソートができます。</t>
    <rPh sb="1" eb="3">
      <t>カイシャ</t>
    </rPh>
    <rPh sb="3" eb="5">
      <t>シュベツ</t>
    </rPh>
    <rPh sb="6" eb="7">
      <t>マエ</t>
    </rPh>
    <rPh sb="11" eb="12">
      <t>ウシ</t>
    </rPh>
    <rPh sb="18" eb="20">
      <t>ニュウリョク</t>
    </rPh>
    <rPh sb="29" eb="32">
      <t>カイシャメイ</t>
    </rPh>
    <phoneticPr fontId="2"/>
  </si>
  <si>
    <t>⑩役職を入力します。</t>
    <rPh sb="1" eb="3">
      <t>ヤクショク</t>
    </rPh>
    <rPh sb="4" eb="6">
      <t>ニュウリョク</t>
    </rPh>
    <phoneticPr fontId="2"/>
  </si>
  <si>
    <t>⑫電話番号を入力します。</t>
    <rPh sb="1" eb="3">
      <t>デンワ</t>
    </rPh>
    <rPh sb="3" eb="5">
      <t>バンゴウ</t>
    </rPh>
    <rPh sb="6" eb="8">
      <t>ニュウリョク</t>
    </rPh>
    <phoneticPr fontId="2"/>
  </si>
  <si>
    <t>⑬FAX番号を入力します。</t>
    <rPh sb="4" eb="6">
      <t>バンゴウ</t>
    </rPh>
    <rPh sb="7" eb="9">
      <t>ニュウリョク</t>
    </rPh>
    <phoneticPr fontId="2"/>
  </si>
  <si>
    <t>⑭メールアドレスを入力します。</t>
    <rPh sb="9" eb="11">
      <t>ニュウリョク</t>
    </rPh>
    <phoneticPr fontId="2"/>
  </si>
  <si>
    <t>⑧会社名を入力します。</t>
    <rPh sb="1" eb="3">
      <t>カイシャ</t>
    </rPh>
    <rPh sb="3" eb="4">
      <t>メイ</t>
    </rPh>
    <rPh sb="5" eb="7">
      <t>ニュウリョク</t>
    </rPh>
    <phoneticPr fontId="2"/>
  </si>
  <si>
    <t>⑨部署名を入力します。</t>
    <rPh sb="1" eb="4">
      <t>ブショメイ</t>
    </rPh>
    <rPh sb="5" eb="7">
      <t>ニュウリョク</t>
    </rPh>
    <phoneticPr fontId="2"/>
  </si>
  <si>
    <t>⑪氏名を入力します。</t>
    <rPh sb="1" eb="3">
      <t>シメイ</t>
    </rPh>
    <rPh sb="4" eb="6">
      <t>ニュウリョク</t>
    </rPh>
    <phoneticPr fontId="2"/>
  </si>
  <si>
    <t>⑮郵便番号を入力します。</t>
    <rPh sb="1" eb="5">
      <t>ユウビンバンゴウ</t>
    </rPh>
    <rPh sb="6" eb="8">
      <t>ニュウリョク</t>
    </rPh>
    <phoneticPr fontId="2"/>
  </si>
  <si>
    <t>⑯住所を入力します。</t>
    <rPh sb="1" eb="3">
      <t>ジュウショ</t>
    </rPh>
    <rPh sb="4" eb="6">
      <t>ニュウリョク</t>
    </rPh>
    <phoneticPr fontId="2"/>
  </si>
  <si>
    <t>⑰お客様の連絡手段の希望を選択します。</t>
    <rPh sb="2" eb="4">
      <t>キャクサマ</t>
    </rPh>
    <rPh sb="5" eb="7">
      <t>レンラク</t>
    </rPh>
    <rPh sb="7" eb="9">
      <t>シュダン</t>
    </rPh>
    <rPh sb="10" eb="12">
      <t>キボウ</t>
    </rPh>
    <rPh sb="13" eb="15">
      <t>センタク</t>
    </rPh>
    <phoneticPr fontId="2"/>
  </si>
  <si>
    <t>⑲計算列です。使用しません。</t>
    <rPh sb="1" eb="4">
      <t>ケイサンレツ</t>
    </rPh>
    <rPh sb="7" eb="9">
      <t>シヨウ</t>
    </rPh>
    <phoneticPr fontId="2"/>
  </si>
  <si>
    <t>住所録シート（入力リスト）</t>
    <rPh sb="0" eb="3">
      <t>ジュウショロク</t>
    </rPh>
    <rPh sb="7" eb="9">
      <t>ニュウリョク</t>
    </rPh>
    <phoneticPr fontId="2"/>
  </si>
  <si>
    <t>入力簡略化のためプルダウンで選択できるようにしているデータです。</t>
    <rPh sb="0" eb="2">
      <t>ニュウリョク</t>
    </rPh>
    <rPh sb="2" eb="5">
      <t>カンリャクカ</t>
    </rPh>
    <rPh sb="14" eb="16">
      <t>センタク</t>
    </rPh>
    <phoneticPr fontId="2"/>
  </si>
  <si>
    <t>書き換え、データの追加が可能です。</t>
    <rPh sb="0" eb="1">
      <t>カ</t>
    </rPh>
    <rPh sb="2" eb="3">
      <t>カ</t>
    </rPh>
    <rPh sb="9" eb="11">
      <t>ツイカ</t>
    </rPh>
    <rPh sb="12" eb="14">
      <t>カノウ</t>
    </rPh>
    <phoneticPr fontId="2"/>
  </si>
  <si>
    <t>⑱計算列です。使用しません。</t>
    <rPh sb="1" eb="3">
      <t>ケイサン</t>
    </rPh>
    <rPh sb="3" eb="4">
      <t>レツ</t>
    </rPh>
    <rPh sb="7" eb="9">
      <t>シヨウ</t>
    </rPh>
    <phoneticPr fontId="2"/>
  </si>
  <si>
    <t>この度は〇×会社のイベントへの参加、誠にありがとうございます。
イベント当日のスケジュールや店舗配置等を記載した資料をお送りいたしますので
当日までご確認の上、ご参加ください。
不明な点がございましたら
お気軽に下記連絡先までご連絡ください。</t>
    <rPh sb="2" eb="3">
      <t>タビ</t>
    </rPh>
    <rPh sb="6" eb="8">
      <t>カイシャ</t>
    </rPh>
    <rPh sb="15" eb="17">
      <t>サンカ</t>
    </rPh>
    <rPh sb="18" eb="19">
      <t>マコト</t>
    </rPh>
    <rPh sb="36" eb="38">
      <t>トウジツ</t>
    </rPh>
    <rPh sb="46" eb="48">
      <t>テンポ</t>
    </rPh>
    <rPh sb="48" eb="50">
      <t>ハイチ</t>
    </rPh>
    <rPh sb="50" eb="51">
      <t>ナド</t>
    </rPh>
    <rPh sb="52" eb="54">
      <t>キサイ</t>
    </rPh>
    <rPh sb="56" eb="58">
      <t>シリョウ</t>
    </rPh>
    <rPh sb="60" eb="61">
      <t>オク</t>
    </rPh>
    <rPh sb="70" eb="72">
      <t>トウジツ</t>
    </rPh>
    <rPh sb="75" eb="77">
      <t>カクニン</t>
    </rPh>
    <rPh sb="78" eb="79">
      <t>ウエ</t>
    </rPh>
    <rPh sb="81" eb="83">
      <t>サンカ</t>
    </rPh>
    <rPh sb="90" eb="92">
      <t>フメイ</t>
    </rPh>
    <rPh sb="93" eb="94">
      <t>テン</t>
    </rPh>
    <rPh sb="104" eb="106">
      <t>キガル</t>
    </rPh>
    <rPh sb="107" eb="109">
      <t>カキ</t>
    </rPh>
    <rPh sb="109" eb="112">
      <t>レンラクサキ</t>
    </rPh>
    <rPh sb="115" eb="117">
      <t>レンラク</t>
    </rPh>
    <phoneticPr fontId="2"/>
  </si>
  <si>
    <t>mail4</t>
    <phoneticPr fontId="2"/>
  </si>
  <si>
    <t>メール配信シート配置（メール配信）</t>
    <rPh sb="3" eb="5">
      <t>ハイシン</t>
    </rPh>
    <rPh sb="8" eb="10">
      <t>ハイチ</t>
    </rPh>
    <rPh sb="14" eb="16">
      <t>ハイシン</t>
    </rPh>
    <phoneticPr fontId="2"/>
  </si>
  <si>
    <t>住所録シート配置（住所録）</t>
    <rPh sb="0" eb="3">
      <t>ジュウショロク</t>
    </rPh>
    <rPh sb="6" eb="8">
      <t>ハイチ</t>
    </rPh>
    <rPh sb="9" eb="12">
      <t>ジュウショロク</t>
    </rPh>
    <phoneticPr fontId="2"/>
  </si>
  <si>
    <t>住所録作業手順</t>
    <rPh sb="0" eb="3">
      <t>ジュウショロク</t>
    </rPh>
    <rPh sb="3" eb="5">
      <t>サギョウ</t>
    </rPh>
    <rPh sb="5" eb="7">
      <t>テジュン</t>
    </rPh>
    <phoneticPr fontId="2"/>
  </si>
  <si>
    <t>新規アドレス登録</t>
    <rPh sb="0" eb="2">
      <t>シンキ</t>
    </rPh>
    <rPh sb="6" eb="8">
      <t>トウロク</t>
    </rPh>
    <phoneticPr fontId="2"/>
  </si>
  <si>
    <t>①の行追加ボタンをクリックし情報を入力する</t>
    <rPh sb="2" eb="5">
      <t>ギョウツイカ</t>
    </rPh>
    <rPh sb="14" eb="16">
      <t>ジョウホウ</t>
    </rPh>
    <rPh sb="17" eb="19">
      <t>ニュウリョク</t>
    </rPh>
    <phoneticPr fontId="2"/>
  </si>
  <si>
    <t>アドレス削除</t>
    <rPh sb="4" eb="6">
      <t>サクジョ</t>
    </rPh>
    <phoneticPr fontId="2"/>
  </si>
  <si>
    <t>セルを選択してDeleteキーで削除</t>
    <rPh sb="3" eb="5">
      <t>センタク</t>
    </rPh>
    <rPh sb="16" eb="18">
      <t>サクジョ</t>
    </rPh>
    <phoneticPr fontId="2"/>
  </si>
  <si>
    <t>①表示している１件だけメールを配信するボタンです。</t>
    <rPh sb="1" eb="3">
      <t>ヒョウジ</t>
    </rPh>
    <rPh sb="8" eb="9">
      <t>ケン</t>
    </rPh>
    <rPh sb="15" eb="17">
      <t>ハイシン</t>
    </rPh>
    <phoneticPr fontId="2"/>
  </si>
  <si>
    <t>②住所録に〇がついてあるアドレスにメールを配信するボタンです。</t>
    <rPh sb="1" eb="4">
      <t>ジュウショロク</t>
    </rPh>
    <rPh sb="21" eb="23">
      <t>ハイシン</t>
    </rPh>
    <phoneticPr fontId="2"/>
  </si>
  <si>
    <t>③住所録に〇がついているかつMAIL配信希望のアドレスにメールを配信するボタンです。</t>
    <rPh sb="1" eb="4">
      <t>ジュウショロク</t>
    </rPh>
    <rPh sb="18" eb="20">
      <t>ハイシン</t>
    </rPh>
    <rPh sb="20" eb="22">
      <t>キボウ</t>
    </rPh>
    <rPh sb="32" eb="34">
      <t>ハイシン</t>
    </rPh>
    <phoneticPr fontId="2"/>
  </si>
  <si>
    <t>④計算蘭です。使用しません。</t>
    <rPh sb="1" eb="4">
      <t>ケイサンラン</t>
    </rPh>
    <rPh sb="7" eb="9">
      <t>シヨウ</t>
    </rPh>
    <phoneticPr fontId="2"/>
  </si>
  <si>
    <t>⑤メールの宛先です。自動入力欄です。表示する場合は⑧か⑪で選択します。</t>
    <rPh sb="5" eb="7">
      <t>アテサキ</t>
    </rPh>
    <rPh sb="10" eb="12">
      <t>ジドウ</t>
    </rPh>
    <rPh sb="12" eb="15">
      <t>ニュウリョクラン</t>
    </rPh>
    <rPh sb="18" eb="20">
      <t>ヒョウジ</t>
    </rPh>
    <rPh sb="22" eb="24">
      <t>バアイ</t>
    </rPh>
    <rPh sb="29" eb="31">
      <t>センタク</t>
    </rPh>
    <phoneticPr fontId="2"/>
  </si>
  <si>
    <t>⑥Ccの宛先です。自動入力欄です。表示する場合は⑨か⑫で選択します。</t>
    <rPh sb="4" eb="6">
      <t>アテサキ</t>
    </rPh>
    <rPh sb="28" eb="30">
      <t>センタク</t>
    </rPh>
    <phoneticPr fontId="2"/>
  </si>
  <si>
    <t>⑦Bccの宛先です。自動入力欄です。表示する場合は⑩か⑬で選択します。</t>
    <rPh sb="5" eb="7">
      <t>アテサキ</t>
    </rPh>
    <rPh sb="29" eb="31">
      <t>センタク</t>
    </rPh>
    <phoneticPr fontId="2"/>
  </si>
  <si>
    <t>⑧プルダウンで宛先を選択します。直接入力も可能です。Deleteで削除します。</t>
    <rPh sb="7" eb="9">
      <t>アテサキ</t>
    </rPh>
    <rPh sb="10" eb="12">
      <t>センタク</t>
    </rPh>
    <rPh sb="16" eb="18">
      <t>チョクセツ</t>
    </rPh>
    <rPh sb="18" eb="20">
      <t>ニュウリョク</t>
    </rPh>
    <rPh sb="21" eb="23">
      <t>カノウ</t>
    </rPh>
    <rPh sb="33" eb="35">
      <t>サクジョ</t>
    </rPh>
    <phoneticPr fontId="2"/>
  </si>
  <si>
    <t>⑨プルダウンで宛先を選択します。直接入力も可能です。Deleteで削除します。</t>
    <rPh sb="7" eb="9">
      <t>アテサキ</t>
    </rPh>
    <rPh sb="10" eb="12">
      <t>センタク</t>
    </rPh>
    <rPh sb="16" eb="18">
      <t>チョクセツ</t>
    </rPh>
    <rPh sb="18" eb="20">
      <t>ニュウリョク</t>
    </rPh>
    <rPh sb="21" eb="23">
      <t>カノウ</t>
    </rPh>
    <rPh sb="33" eb="35">
      <t>サクジョ</t>
    </rPh>
    <phoneticPr fontId="2"/>
  </si>
  <si>
    <t>⑩プルダウンで宛先を選択します。直接入力も可能です。Deleteで削除します。</t>
    <rPh sb="7" eb="9">
      <t>アテサキ</t>
    </rPh>
    <rPh sb="10" eb="12">
      <t>センタク</t>
    </rPh>
    <rPh sb="16" eb="18">
      <t>チョクセツ</t>
    </rPh>
    <rPh sb="18" eb="20">
      <t>ニュウリョク</t>
    </rPh>
    <rPh sb="21" eb="23">
      <t>カノウ</t>
    </rPh>
    <rPh sb="33" eb="35">
      <t>サクジョ</t>
    </rPh>
    <phoneticPr fontId="2"/>
  </si>
  <si>
    <t>⑪プルダウンで宛先を選択します。Deleteで削除します。検索は⑧の方が優先されます。</t>
    <rPh sb="7" eb="9">
      <t>アテサキ</t>
    </rPh>
    <rPh sb="10" eb="12">
      <t>センタク</t>
    </rPh>
    <rPh sb="23" eb="25">
      <t>サクジョ</t>
    </rPh>
    <rPh sb="29" eb="31">
      <t>ケンサク</t>
    </rPh>
    <rPh sb="34" eb="35">
      <t>ホウ</t>
    </rPh>
    <rPh sb="36" eb="38">
      <t>ユウセン</t>
    </rPh>
    <phoneticPr fontId="2"/>
  </si>
  <si>
    <t>⑫プルダウンで宛先を選択します。Deleteで削除します。検索は⑨の方が優先されます。</t>
    <rPh sb="7" eb="9">
      <t>アテサキ</t>
    </rPh>
    <rPh sb="10" eb="12">
      <t>センタク</t>
    </rPh>
    <rPh sb="23" eb="25">
      <t>サクジョ</t>
    </rPh>
    <rPh sb="29" eb="31">
      <t>ケンサク</t>
    </rPh>
    <rPh sb="34" eb="35">
      <t>ホウ</t>
    </rPh>
    <rPh sb="36" eb="38">
      <t>ユウセン</t>
    </rPh>
    <phoneticPr fontId="2"/>
  </si>
  <si>
    <t>⑬プルダウンで宛先を選択します。Deleteで削除します。検索は⑩の方が優先されます。</t>
    <rPh sb="7" eb="9">
      <t>アテサキ</t>
    </rPh>
    <rPh sb="10" eb="12">
      <t>センタク</t>
    </rPh>
    <rPh sb="23" eb="25">
      <t>サクジョ</t>
    </rPh>
    <rPh sb="29" eb="31">
      <t>ケンサク</t>
    </rPh>
    <rPh sb="34" eb="35">
      <t>ホウ</t>
    </rPh>
    <rPh sb="36" eb="38">
      <t>ユウセン</t>
    </rPh>
    <phoneticPr fontId="2"/>
  </si>
  <si>
    <t>⑭添付ファイルを選択します。直接入力可能。Deleteで削除。右のボタンでダイアログから検索できます。</t>
    <rPh sb="1" eb="3">
      <t>テンプ</t>
    </rPh>
    <rPh sb="8" eb="10">
      <t>センタク</t>
    </rPh>
    <rPh sb="14" eb="16">
      <t>チョクセツ</t>
    </rPh>
    <rPh sb="16" eb="18">
      <t>ニュウリョク</t>
    </rPh>
    <rPh sb="18" eb="20">
      <t>カノウ</t>
    </rPh>
    <rPh sb="28" eb="30">
      <t>サクジョ</t>
    </rPh>
    <rPh sb="31" eb="32">
      <t>ミギ</t>
    </rPh>
    <rPh sb="44" eb="46">
      <t>ケンサク</t>
    </rPh>
    <phoneticPr fontId="2"/>
  </si>
  <si>
    <t>⑮添付ファイルを選択します。直接入力可能。Deleteで削除。右のボタンでダイアログから検索できます。</t>
    <rPh sb="1" eb="3">
      <t>テンプ</t>
    </rPh>
    <rPh sb="8" eb="10">
      <t>センタク</t>
    </rPh>
    <rPh sb="14" eb="16">
      <t>チョクセツ</t>
    </rPh>
    <rPh sb="16" eb="18">
      <t>ニュウリョク</t>
    </rPh>
    <rPh sb="18" eb="20">
      <t>カノウ</t>
    </rPh>
    <rPh sb="28" eb="30">
      <t>サクジョ</t>
    </rPh>
    <rPh sb="31" eb="32">
      <t>ミギ</t>
    </rPh>
    <rPh sb="44" eb="46">
      <t>ケンサク</t>
    </rPh>
    <phoneticPr fontId="2"/>
  </si>
  <si>
    <t>⑯添付ファイルを選択します。直接入力可能。Deleteで削除。右のボタンでダイアログから検索できます。</t>
    <rPh sb="1" eb="3">
      <t>テンプ</t>
    </rPh>
    <rPh sb="8" eb="10">
      <t>センタク</t>
    </rPh>
    <rPh sb="14" eb="16">
      <t>チョクセツ</t>
    </rPh>
    <rPh sb="16" eb="18">
      <t>ニュウリョク</t>
    </rPh>
    <rPh sb="18" eb="20">
      <t>カノウ</t>
    </rPh>
    <rPh sb="28" eb="30">
      <t>サクジョ</t>
    </rPh>
    <rPh sb="31" eb="32">
      <t>ミギ</t>
    </rPh>
    <rPh sb="44" eb="46">
      <t>ケンサク</t>
    </rPh>
    <phoneticPr fontId="2"/>
  </si>
  <si>
    <t>⑰件名です。直接入力、Deleteで削除します。</t>
    <rPh sb="1" eb="3">
      <t>ケンメイ</t>
    </rPh>
    <rPh sb="6" eb="8">
      <t>チョクセツ</t>
    </rPh>
    <rPh sb="8" eb="10">
      <t>ニュウリョク</t>
    </rPh>
    <rPh sb="18" eb="20">
      <t>サクジョ</t>
    </rPh>
    <phoneticPr fontId="2"/>
  </si>
  <si>
    <t>⑱宛先会社情報です。検索すると自動で入力されます。</t>
    <rPh sb="1" eb="3">
      <t>アテサキ</t>
    </rPh>
    <rPh sb="3" eb="5">
      <t>カイシャ</t>
    </rPh>
    <rPh sb="5" eb="7">
      <t>ジョウホウ</t>
    </rPh>
    <rPh sb="10" eb="12">
      <t>ケンサク</t>
    </rPh>
    <rPh sb="15" eb="17">
      <t>ジドウ</t>
    </rPh>
    <rPh sb="18" eb="20">
      <t>ニュウリョク</t>
    </rPh>
    <phoneticPr fontId="2"/>
  </si>
  <si>
    <t>⑲宛先会社情報です。検索すると自動で入力されます。</t>
    <rPh sb="1" eb="3">
      <t>アテサキ</t>
    </rPh>
    <rPh sb="3" eb="5">
      <t>カイシャ</t>
    </rPh>
    <rPh sb="5" eb="7">
      <t>ジョウホウ</t>
    </rPh>
    <rPh sb="10" eb="12">
      <t>ケンサク</t>
    </rPh>
    <rPh sb="15" eb="17">
      <t>ジドウ</t>
    </rPh>
    <rPh sb="18" eb="20">
      <t>ニュウリョク</t>
    </rPh>
    <phoneticPr fontId="2"/>
  </si>
  <si>
    <t>⑳宛先会社情報です。検索すると自動で入力されます。</t>
    <rPh sb="1" eb="3">
      <t>アテサキ</t>
    </rPh>
    <rPh sb="3" eb="5">
      <t>カイシャ</t>
    </rPh>
    <rPh sb="5" eb="7">
      <t>ジョウホウ</t>
    </rPh>
    <rPh sb="10" eb="12">
      <t>ケンサク</t>
    </rPh>
    <rPh sb="15" eb="17">
      <t>ジドウ</t>
    </rPh>
    <rPh sb="18" eb="20">
      <t>ニュウリョク</t>
    </rPh>
    <phoneticPr fontId="2"/>
  </si>
  <si>
    <t>㉑メール本文です。直接入力、Deleteで削除します。改行も反映されます。</t>
    <rPh sb="4" eb="6">
      <t>ホンブン</t>
    </rPh>
    <rPh sb="9" eb="11">
      <t>チョクセツ</t>
    </rPh>
    <rPh sb="11" eb="13">
      <t>ニュウリョク</t>
    </rPh>
    <rPh sb="21" eb="23">
      <t>サクジョ</t>
    </rPh>
    <rPh sb="27" eb="29">
      <t>カイギョウ</t>
    </rPh>
    <rPh sb="30" eb="32">
      <t>ハンエイ</t>
    </rPh>
    <phoneticPr fontId="2"/>
  </si>
  <si>
    <t>㉒署名です。直接入力、Deleteで削除します。改行も反映されます。</t>
    <rPh sb="1" eb="3">
      <t>ショメイ</t>
    </rPh>
    <phoneticPr fontId="2"/>
  </si>
  <si>
    <t>メール配信作業手順</t>
    <rPh sb="3" eb="5">
      <t>ハイシン</t>
    </rPh>
    <rPh sb="5" eb="7">
      <t>サギョウ</t>
    </rPh>
    <rPh sb="7" eb="9">
      <t>テジュン</t>
    </rPh>
    <phoneticPr fontId="2"/>
  </si>
  <si>
    <t>個別配信</t>
    <rPh sb="0" eb="2">
      <t>コベツ</t>
    </rPh>
    <rPh sb="2" eb="4">
      <t>ハイシン</t>
    </rPh>
    <phoneticPr fontId="2"/>
  </si>
  <si>
    <t>メール自動配信はOutlookの機能を使用します。</t>
    <rPh sb="3" eb="7">
      <t>ジドウハイシン</t>
    </rPh>
    <rPh sb="16" eb="18">
      <t>キノウ</t>
    </rPh>
    <rPh sb="19" eb="21">
      <t>シヨウ</t>
    </rPh>
    <phoneticPr fontId="2"/>
  </si>
  <si>
    <t>送りたい宛先が１件の時に使用します。</t>
    <rPh sb="0" eb="1">
      <t>オク</t>
    </rPh>
    <rPh sb="4" eb="6">
      <t>アテサキ</t>
    </rPh>
    <rPh sb="8" eb="9">
      <t>ケン</t>
    </rPh>
    <rPh sb="10" eb="11">
      <t>トキ</t>
    </rPh>
    <rPh sb="12" eb="14">
      <t>シヨウ</t>
    </rPh>
    <phoneticPr fontId="2"/>
  </si>
  <si>
    <t>番号から検索の方が優先されるため名前から検索する場合は番号から検索するの数字を</t>
    <rPh sb="0" eb="2">
      <t>バンゴウ</t>
    </rPh>
    <rPh sb="4" eb="6">
      <t>ケンサク</t>
    </rPh>
    <rPh sb="7" eb="8">
      <t>ホウ</t>
    </rPh>
    <rPh sb="9" eb="11">
      <t>ユウセン</t>
    </rPh>
    <rPh sb="16" eb="18">
      <t>ナマエ</t>
    </rPh>
    <rPh sb="20" eb="22">
      <t>ケンサク</t>
    </rPh>
    <rPh sb="24" eb="26">
      <t>バアイ</t>
    </rPh>
    <rPh sb="27" eb="29">
      <t>バンゴウ</t>
    </rPh>
    <rPh sb="31" eb="33">
      <t>ケンサク</t>
    </rPh>
    <rPh sb="36" eb="38">
      <t>スウジ</t>
    </rPh>
    <phoneticPr fontId="2"/>
  </si>
  <si>
    <t>Deleteで削除してください。</t>
    <rPh sb="7" eb="9">
      <t>サクジョ</t>
    </rPh>
    <phoneticPr fontId="2"/>
  </si>
  <si>
    <t>１）右上の番号から検索もしくは名前から検索でTo、Cc、Bccを検索します。</t>
    <rPh sb="2" eb="4">
      <t>ミギウエ</t>
    </rPh>
    <rPh sb="5" eb="7">
      <t>バンゴウ</t>
    </rPh>
    <rPh sb="9" eb="11">
      <t>ケンサク</t>
    </rPh>
    <rPh sb="15" eb="17">
      <t>ナマエ</t>
    </rPh>
    <rPh sb="19" eb="21">
      <t>ケンサク</t>
    </rPh>
    <rPh sb="32" eb="34">
      <t>ケンサク</t>
    </rPh>
    <phoneticPr fontId="2"/>
  </si>
  <si>
    <t>２）添付ファイルがある場合はファイル名取得ボタンをクリックし添付したいファイルを</t>
    <rPh sb="2" eb="4">
      <t>テンプ</t>
    </rPh>
    <rPh sb="11" eb="13">
      <t>バアイ</t>
    </rPh>
    <rPh sb="18" eb="19">
      <t>メイ</t>
    </rPh>
    <rPh sb="19" eb="21">
      <t>シュトク</t>
    </rPh>
    <rPh sb="30" eb="32">
      <t>テンプ</t>
    </rPh>
    <phoneticPr fontId="2"/>
  </si>
  <si>
    <t>選択してください。</t>
    <rPh sb="0" eb="2">
      <t>センタク</t>
    </rPh>
    <phoneticPr fontId="2"/>
  </si>
  <si>
    <t>３）件名は手動入力です。</t>
    <rPh sb="2" eb="4">
      <t>ケンメイ</t>
    </rPh>
    <rPh sb="5" eb="7">
      <t>シュドウ</t>
    </rPh>
    <rPh sb="7" eb="9">
      <t>ニュウリョク</t>
    </rPh>
    <phoneticPr fontId="2"/>
  </si>
  <si>
    <t>４）会社名、部署名、役職、名前は宛先を検索した時に自動的に入力されます。</t>
    <rPh sb="2" eb="5">
      <t>カイシャメイ</t>
    </rPh>
    <rPh sb="6" eb="9">
      <t>ブショメイ</t>
    </rPh>
    <rPh sb="10" eb="12">
      <t>ヤクショク</t>
    </rPh>
    <rPh sb="13" eb="15">
      <t>ナマエ</t>
    </rPh>
    <rPh sb="16" eb="18">
      <t>アテサキ</t>
    </rPh>
    <rPh sb="19" eb="21">
      <t>ケンサク</t>
    </rPh>
    <rPh sb="23" eb="24">
      <t>トキ</t>
    </rPh>
    <rPh sb="25" eb="28">
      <t>ジドウテキ</t>
    </rPh>
    <rPh sb="29" eb="31">
      <t>ニュウリョク</t>
    </rPh>
    <phoneticPr fontId="2"/>
  </si>
  <si>
    <t>５）本文を入力します。</t>
    <rPh sb="2" eb="4">
      <t>ホンブン</t>
    </rPh>
    <rPh sb="5" eb="7">
      <t>ニュウリョク</t>
    </rPh>
    <phoneticPr fontId="2"/>
  </si>
  <si>
    <t>６）署名を入力します。</t>
    <rPh sb="2" eb="4">
      <t>ショメイ</t>
    </rPh>
    <rPh sb="5" eb="7">
      <t>ニュウリョク</t>
    </rPh>
    <phoneticPr fontId="2"/>
  </si>
  <si>
    <t>８）送信完了ウィンドウがでたらOKをクリックしてください。</t>
    <rPh sb="2" eb="4">
      <t>ソウシン</t>
    </rPh>
    <rPh sb="4" eb="6">
      <t>カンリョウ</t>
    </rPh>
    <phoneticPr fontId="2"/>
  </si>
  <si>
    <t>Gmailなどを利用したい場合はGmailアカウントをOutlookで使用できるようにしておいてください。</t>
    <rPh sb="8" eb="10">
      <t>リヨウ</t>
    </rPh>
    <rPh sb="13" eb="15">
      <t>バアイ</t>
    </rPh>
    <rPh sb="35" eb="37">
      <t>シヨウ</t>
    </rPh>
    <phoneticPr fontId="2"/>
  </si>
  <si>
    <t>〇を対象に配信</t>
    <rPh sb="2" eb="4">
      <t>タイショウ</t>
    </rPh>
    <rPh sb="5" eb="7">
      <t>ハイシン</t>
    </rPh>
    <phoneticPr fontId="2"/>
  </si>
  <si>
    <t>住所禄で配信欄に〇がついてある人を対象に配信します。</t>
    <rPh sb="0" eb="2">
      <t>ジュウショ</t>
    </rPh>
    <rPh sb="2" eb="3">
      <t>ロク</t>
    </rPh>
    <rPh sb="4" eb="6">
      <t>ハイシン</t>
    </rPh>
    <rPh sb="6" eb="7">
      <t>ラン</t>
    </rPh>
    <rPh sb="15" eb="16">
      <t>ヒト</t>
    </rPh>
    <rPh sb="17" eb="19">
      <t>タイショウ</t>
    </rPh>
    <rPh sb="20" eb="22">
      <t>ハイシン</t>
    </rPh>
    <phoneticPr fontId="2"/>
  </si>
  <si>
    <t>１）添付ファイルがある場合はファイル名取得ボタンをクリックし添付したいファイルを</t>
    <phoneticPr fontId="2"/>
  </si>
  <si>
    <t>２）件名を入力します。</t>
    <rPh sb="2" eb="4">
      <t>ケンメイ</t>
    </rPh>
    <rPh sb="5" eb="7">
      <t>ニュウリョク</t>
    </rPh>
    <phoneticPr fontId="2"/>
  </si>
  <si>
    <t>３）本文を入力します。</t>
    <rPh sb="2" eb="4">
      <t>ホンブン</t>
    </rPh>
    <rPh sb="5" eb="7">
      <t>ニュウリョク</t>
    </rPh>
    <phoneticPr fontId="2"/>
  </si>
  <si>
    <t>４）署名を入力します。</t>
    <rPh sb="2" eb="4">
      <t>ショメイ</t>
    </rPh>
    <rPh sb="5" eb="7">
      <t>ニュウリョク</t>
    </rPh>
    <phoneticPr fontId="2"/>
  </si>
  <si>
    <t>６）送信完了ウィンドウが出たらOKをクリックしてください。</t>
    <rPh sb="2" eb="4">
      <t>ソウシン</t>
    </rPh>
    <rPh sb="4" eb="6">
      <t>カンリョウ</t>
    </rPh>
    <rPh sb="12" eb="13">
      <t>デ</t>
    </rPh>
    <phoneticPr fontId="2"/>
  </si>
  <si>
    <t>住所禄で配信欄に〇がついてかつ配信方法にMAILを希望している人を対象に配信します。</t>
    <rPh sb="0" eb="2">
      <t>ジュウショ</t>
    </rPh>
    <rPh sb="2" eb="3">
      <t>ロク</t>
    </rPh>
    <rPh sb="4" eb="6">
      <t>ハイシン</t>
    </rPh>
    <rPh sb="6" eb="7">
      <t>ラン</t>
    </rPh>
    <rPh sb="15" eb="17">
      <t>ハイシン</t>
    </rPh>
    <rPh sb="17" eb="19">
      <t>ホウホウ</t>
    </rPh>
    <rPh sb="25" eb="27">
      <t>キボウ</t>
    </rPh>
    <rPh sb="31" eb="32">
      <t>ヒト</t>
    </rPh>
    <rPh sb="33" eb="35">
      <t>タイショウ</t>
    </rPh>
    <rPh sb="36" eb="38">
      <t>ハイシン</t>
    </rPh>
    <phoneticPr fontId="2"/>
  </si>
  <si>
    <t>〇＆MAILを対象に配信</t>
    <rPh sb="7" eb="9">
      <t>タイショウ</t>
    </rPh>
    <rPh sb="10" eb="12">
      <t>ハイシン</t>
    </rPh>
    <phoneticPr fontId="2"/>
  </si>
  <si>
    <t>５）青い「〇を対象に配信」ボタンをクリックします。</t>
    <rPh sb="2" eb="3">
      <t>アオ</t>
    </rPh>
    <rPh sb="7" eb="9">
      <t>タイショウ</t>
    </rPh>
    <rPh sb="10" eb="12">
      <t>ハイシン</t>
    </rPh>
    <phoneticPr fontId="2"/>
  </si>
  <si>
    <t>７）青い「個別に配信」ボタンをクリックします。</t>
    <rPh sb="2" eb="3">
      <t>アオ</t>
    </rPh>
    <rPh sb="5" eb="7">
      <t>コベツ</t>
    </rPh>
    <rPh sb="8" eb="10">
      <t>ハイシン</t>
    </rPh>
    <phoneticPr fontId="2"/>
  </si>
  <si>
    <t>５）青い「〇＆MAILを対象に配信」ボタンをクリックします。</t>
    <rPh sb="2" eb="3">
      <t>アオ</t>
    </rPh>
    <rPh sb="12" eb="14">
      <t>タイショウ</t>
    </rPh>
    <rPh sb="15" eb="17">
      <t>ハイシン</t>
    </rPh>
    <phoneticPr fontId="2"/>
  </si>
  <si>
    <t>住所録シート配置説明</t>
    <rPh sb="0" eb="3">
      <t>ジュウショロク</t>
    </rPh>
    <rPh sb="6" eb="8">
      <t>ハイチ</t>
    </rPh>
    <rPh sb="8" eb="10">
      <t>セツメイ</t>
    </rPh>
    <phoneticPr fontId="2"/>
  </si>
  <si>
    <t>住所録シート使用方法</t>
    <rPh sb="0" eb="3">
      <t>ジュウショロク</t>
    </rPh>
    <rPh sb="6" eb="10">
      <t>シヨウホウホウ</t>
    </rPh>
    <phoneticPr fontId="2"/>
  </si>
  <si>
    <t>メール配信シート配置説明</t>
    <rPh sb="3" eb="5">
      <t>ハイシン</t>
    </rPh>
    <rPh sb="8" eb="10">
      <t>ハイチ</t>
    </rPh>
    <rPh sb="10" eb="12">
      <t>セツメイ</t>
    </rPh>
    <phoneticPr fontId="2"/>
  </si>
  <si>
    <t>メール配信シート使用方法</t>
    <rPh sb="3" eb="5">
      <t>ハイシン</t>
    </rPh>
    <rPh sb="8" eb="10">
      <t>シヨウ</t>
    </rPh>
    <rPh sb="10" eb="12">
      <t>ホウホウ</t>
    </rPh>
    <phoneticPr fontId="2"/>
  </si>
  <si>
    <t>目次</t>
    <rPh sb="0" eb="2">
      <t>モクジ</t>
    </rPh>
    <phoneticPr fontId="2"/>
  </si>
  <si>
    <t>FAX作成シート（配置）</t>
    <rPh sb="3" eb="5">
      <t>サクセイ</t>
    </rPh>
    <rPh sb="9" eb="11">
      <t>ハイチ</t>
    </rPh>
    <phoneticPr fontId="2"/>
  </si>
  <si>
    <t>①配信に〇がついているアドレスを対象に印刷をします。印刷設定ダイアログは出ないため</t>
    <rPh sb="1" eb="3">
      <t>ハイシン</t>
    </rPh>
    <rPh sb="16" eb="18">
      <t>タイショウ</t>
    </rPh>
    <rPh sb="19" eb="21">
      <t>インサツ</t>
    </rPh>
    <rPh sb="26" eb="28">
      <t>インサツ</t>
    </rPh>
    <rPh sb="28" eb="30">
      <t>セッテイ</t>
    </rPh>
    <rPh sb="36" eb="37">
      <t>デ</t>
    </rPh>
    <phoneticPr fontId="2"/>
  </si>
  <si>
    <t>既定のプリンターを予め設定しておく必要があります。連続印刷です。</t>
    <rPh sb="0" eb="2">
      <t>キテイ</t>
    </rPh>
    <rPh sb="9" eb="10">
      <t>アラカジ</t>
    </rPh>
    <rPh sb="11" eb="13">
      <t>セッテイ</t>
    </rPh>
    <rPh sb="17" eb="19">
      <t>ヒツヨウ</t>
    </rPh>
    <rPh sb="25" eb="27">
      <t>レンゾク</t>
    </rPh>
    <rPh sb="27" eb="29">
      <t>インサツ</t>
    </rPh>
    <phoneticPr fontId="2"/>
  </si>
  <si>
    <t>FAXだけでなく封筒に同封する送付書などにも使用できます。</t>
    <rPh sb="8" eb="10">
      <t>フウトウ</t>
    </rPh>
    <rPh sb="11" eb="13">
      <t>ドウフウ</t>
    </rPh>
    <rPh sb="15" eb="18">
      <t>ソウフショ</t>
    </rPh>
    <rPh sb="22" eb="24">
      <t>シヨウ</t>
    </rPh>
    <phoneticPr fontId="2"/>
  </si>
  <si>
    <t>③宛先を数字で指定します。④の名前から検索よりも優先されます。</t>
    <rPh sb="1" eb="3">
      <t>アテサキ</t>
    </rPh>
    <rPh sb="4" eb="6">
      <t>スウジ</t>
    </rPh>
    <rPh sb="7" eb="9">
      <t>シテイ</t>
    </rPh>
    <rPh sb="15" eb="17">
      <t>ナマエ</t>
    </rPh>
    <rPh sb="19" eb="21">
      <t>ケンサク</t>
    </rPh>
    <rPh sb="24" eb="26">
      <t>ユウセン</t>
    </rPh>
    <phoneticPr fontId="2"/>
  </si>
  <si>
    <t>④名前からアドレスを検索できます。③が優先されるため③をDeleteで消して使用します。</t>
    <rPh sb="1" eb="3">
      <t>ナマエ</t>
    </rPh>
    <rPh sb="10" eb="12">
      <t>ケンサク</t>
    </rPh>
    <rPh sb="19" eb="21">
      <t>ユウセン</t>
    </rPh>
    <rPh sb="35" eb="36">
      <t>ケ</t>
    </rPh>
    <rPh sb="38" eb="40">
      <t>シヨウ</t>
    </rPh>
    <phoneticPr fontId="2"/>
  </si>
  <si>
    <t>⑤計算用欄です。使用しません。</t>
    <rPh sb="1" eb="4">
      <t>ケイサンヨウ</t>
    </rPh>
    <rPh sb="4" eb="5">
      <t>ラン</t>
    </rPh>
    <rPh sb="8" eb="10">
      <t>シヨウ</t>
    </rPh>
    <phoneticPr fontId="2"/>
  </si>
  <si>
    <t>⑥宛名です。自動入力で入力されるので記入不要です。</t>
    <rPh sb="1" eb="3">
      <t>アテナ</t>
    </rPh>
    <rPh sb="6" eb="8">
      <t>ジドウ</t>
    </rPh>
    <rPh sb="8" eb="10">
      <t>ニュウリョク</t>
    </rPh>
    <rPh sb="11" eb="13">
      <t>ニュウリョク</t>
    </rPh>
    <rPh sb="18" eb="20">
      <t>キニュウ</t>
    </rPh>
    <rPh sb="20" eb="22">
      <t>フヨウ</t>
    </rPh>
    <phoneticPr fontId="2"/>
  </si>
  <si>
    <t>⑦今日の日付が自動入力されます。</t>
    <rPh sb="1" eb="3">
      <t>キョウ</t>
    </rPh>
    <rPh sb="4" eb="6">
      <t>ヒヅケ</t>
    </rPh>
    <rPh sb="7" eb="9">
      <t>ジドウ</t>
    </rPh>
    <rPh sb="9" eb="11">
      <t>ニュウリョク</t>
    </rPh>
    <phoneticPr fontId="2"/>
  </si>
  <si>
    <t>⑧件名を入力してください。</t>
    <rPh sb="1" eb="3">
      <t>ケンメイ</t>
    </rPh>
    <rPh sb="4" eb="6">
      <t>ニュウリョク</t>
    </rPh>
    <phoneticPr fontId="2"/>
  </si>
  <si>
    <t>⑨内容を入力してください。</t>
    <rPh sb="1" eb="3">
      <t>ナイヨウ</t>
    </rPh>
    <rPh sb="4" eb="6">
      <t>ニュウリョク</t>
    </rPh>
    <phoneticPr fontId="2"/>
  </si>
  <si>
    <t>⑩自社情報を入力してください。</t>
    <rPh sb="1" eb="3">
      <t>ジシャ</t>
    </rPh>
    <rPh sb="3" eb="5">
      <t>ジョウホウ</t>
    </rPh>
    <rPh sb="6" eb="8">
      <t>ニュウリョク</t>
    </rPh>
    <phoneticPr fontId="2"/>
  </si>
  <si>
    <t>FAX作成シート配置説明</t>
    <rPh sb="3" eb="5">
      <t>サクセイ</t>
    </rPh>
    <rPh sb="8" eb="10">
      <t>ハイチ</t>
    </rPh>
    <rPh sb="10" eb="12">
      <t>セツメイ</t>
    </rPh>
    <phoneticPr fontId="2"/>
  </si>
  <si>
    <t>FAX作成シート使用方法</t>
    <rPh sb="3" eb="5">
      <t>サクセイ</t>
    </rPh>
    <rPh sb="8" eb="10">
      <t>シヨウ</t>
    </rPh>
    <rPh sb="10" eb="12">
      <t>ホウホウ</t>
    </rPh>
    <phoneticPr fontId="2"/>
  </si>
  <si>
    <t>FAX送付状や封筒に同封する送付状を作成します。</t>
    <rPh sb="3" eb="6">
      <t>ソウフジョウ</t>
    </rPh>
    <rPh sb="7" eb="9">
      <t>フウトウ</t>
    </rPh>
    <rPh sb="10" eb="12">
      <t>ドウフウ</t>
    </rPh>
    <rPh sb="14" eb="17">
      <t>ソウフジョウ</t>
    </rPh>
    <rPh sb="18" eb="20">
      <t>サクセイ</t>
    </rPh>
    <phoneticPr fontId="2"/>
  </si>
  <si>
    <t>個別に印刷</t>
    <rPh sb="0" eb="2">
      <t>コベツ</t>
    </rPh>
    <rPh sb="3" eb="5">
      <t>インサツ</t>
    </rPh>
    <phoneticPr fontId="2"/>
  </si>
  <si>
    <t>１）③または④を選択して宛先を選んでください。</t>
    <rPh sb="8" eb="10">
      <t>センタク</t>
    </rPh>
    <rPh sb="12" eb="14">
      <t>アテサキ</t>
    </rPh>
    <rPh sb="15" eb="16">
      <t>エラ</t>
    </rPh>
    <phoneticPr fontId="2"/>
  </si>
  <si>
    <t>２）件名、内容、自社情報を入力してください。</t>
    <rPh sb="2" eb="4">
      <t>ケンメイ</t>
    </rPh>
    <rPh sb="5" eb="7">
      <t>ナイヨウ</t>
    </rPh>
    <rPh sb="8" eb="10">
      <t>ジシャ</t>
    </rPh>
    <rPh sb="10" eb="12">
      <t>ジョウホウ</t>
    </rPh>
    <rPh sb="13" eb="15">
      <t>ニュウリョク</t>
    </rPh>
    <phoneticPr fontId="2"/>
  </si>
  <si>
    <t>３）ファイル→印刷で通常印刷を行います。</t>
    <rPh sb="7" eb="9">
      <t>インサツ</t>
    </rPh>
    <rPh sb="10" eb="12">
      <t>ツウジョウ</t>
    </rPh>
    <rPh sb="12" eb="14">
      <t>インサツ</t>
    </rPh>
    <rPh sb="15" eb="16">
      <t>オコナ</t>
    </rPh>
    <phoneticPr fontId="2"/>
  </si>
  <si>
    <t>〇を対象に印刷</t>
    <rPh sb="2" eb="4">
      <t>タイショウ</t>
    </rPh>
    <rPh sb="5" eb="7">
      <t>インサツ</t>
    </rPh>
    <phoneticPr fontId="2"/>
  </si>
  <si>
    <t>１）件名、内容、自社情報を入力しください。</t>
    <rPh sb="2" eb="4">
      <t>ケンメイ</t>
    </rPh>
    <rPh sb="5" eb="7">
      <t>ナイヨウ</t>
    </rPh>
    <rPh sb="8" eb="10">
      <t>ジシャ</t>
    </rPh>
    <rPh sb="10" eb="12">
      <t>ジョウホウ</t>
    </rPh>
    <rPh sb="13" eb="15">
      <t>ニュウリョク</t>
    </rPh>
    <phoneticPr fontId="2"/>
  </si>
  <si>
    <t>２）青い「〇を対象に印刷」ボタンをクリックします。</t>
    <rPh sb="2" eb="3">
      <t>アオ</t>
    </rPh>
    <rPh sb="7" eb="9">
      <t>タイショウ</t>
    </rPh>
    <rPh sb="10" eb="12">
      <t>インサツ</t>
    </rPh>
    <phoneticPr fontId="2"/>
  </si>
  <si>
    <t>〇＆FAXを対象に印刷</t>
    <rPh sb="6" eb="8">
      <t>タイショウ</t>
    </rPh>
    <rPh sb="9" eb="11">
      <t>インサツ</t>
    </rPh>
    <phoneticPr fontId="2"/>
  </si>
  <si>
    <t>２）青い「〇＆FAXを対象に印刷」ボタンをクリックします。</t>
    <rPh sb="2" eb="3">
      <t>アオ</t>
    </rPh>
    <rPh sb="11" eb="13">
      <t>タイショウ</t>
    </rPh>
    <rPh sb="14" eb="16">
      <t>インサツ</t>
    </rPh>
    <phoneticPr fontId="2"/>
  </si>
  <si>
    <t>②上記と同じように印刷します。〇かつFAX配信希望の方だけ印刷します。</t>
    <rPh sb="1" eb="3">
      <t>ジョウキ</t>
    </rPh>
    <rPh sb="4" eb="5">
      <t>オナ</t>
    </rPh>
    <rPh sb="9" eb="11">
      <t>インサツ</t>
    </rPh>
    <rPh sb="21" eb="23">
      <t>ハイシン</t>
    </rPh>
    <rPh sb="23" eb="25">
      <t>キボウ</t>
    </rPh>
    <rPh sb="26" eb="27">
      <t>カタ</t>
    </rPh>
    <rPh sb="29" eb="31">
      <t>インサツ</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</si>
</sst>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A\X&quot;番&quot;&quot;号&quot;\:\ @\)"/>
    <numFmt numFmtId="177" formatCode="&quot;送付日:&quot;\ yyyy&quot;年&quot;m&quot;月&quot;d&quot;日&quot;;@"/>
  </numFmts>
  <fonts count="15" x14ac:knownFonts="1">
    <font>
      <sz val="11"/>
      <color theme="1"/>
      <name val="メイリオ"/>
      <family val="2"/>
      <charset val="128"/>
      <scheme val="minor"/>
    </font>
    <font>
      <b/>
      <sz val="11"/>
      <color theme="0"/>
      <name val="メイリオ"/>
      <family val="2"/>
      <charset val="128"/>
      <scheme val="minor"/>
    </font>
    <font>
      <sz val="6"/>
      <name val="メイリオ"/>
      <family val="2"/>
      <charset val="128"/>
      <scheme val="minor"/>
    </font>
    <font>
      <sz val="11"/>
      <color theme="0"/>
      <name val="メイリオ"/>
      <family val="2"/>
      <charset val="128"/>
      <scheme val="minor"/>
    </font>
    <font>
      <sz val="11"/>
      <color theme="1"/>
      <name val="メイリオ"/>
      <family val="3"/>
      <charset val="128"/>
      <scheme val="major"/>
    </font>
    <font>
      <sz val="11"/>
      <color theme="1"/>
      <name val="ＭＳ Ｐゴシック"/>
      <family val="2"/>
      <charset val="128"/>
    </font>
    <font>
      <b/>
      <sz val="11"/>
      <color theme="0"/>
      <name val="メイリオ"/>
      <family val="3"/>
      <charset val="128"/>
      <scheme val="minor"/>
    </font>
    <font>
      <sz val="11"/>
      <name val="メイリオ"/>
      <family val="2"/>
      <charset val="128"/>
      <scheme val="minor"/>
    </font>
    <font>
      <b/>
      <sz val="11"/>
      <color theme="1"/>
      <name val="メイリオ"/>
      <family val="3"/>
      <charset val="128"/>
      <scheme val="minor"/>
    </font>
    <font>
      <b/>
      <sz val="15"/>
      <color theme="3"/>
      <name val="メイリオ"/>
      <family val="2"/>
      <charset val="128"/>
      <scheme val="minor"/>
    </font>
    <font>
      <b/>
      <sz val="11"/>
      <color theme="3"/>
      <name val="メイリオ"/>
      <family val="2"/>
      <charset val="128"/>
      <scheme val="minor"/>
    </font>
    <font>
      <sz val="11"/>
      <color theme="1"/>
      <name val="メイリオ"/>
      <family val="2"/>
      <charset val="128"/>
      <scheme val="minor"/>
    </font>
    <font>
      <sz val="6"/>
      <color rgb="FF000000"/>
      <name val="メイリオ"/>
      <family val="3"/>
      <charset val="128"/>
    </font>
    <font>
      <b/>
      <sz val="13"/>
      <color theme="3"/>
      <name val="メイリオ"/>
      <family val="2"/>
      <charset val="128"/>
      <scheme val="minor"/>
    </font>
    <font>
      <u/>
      <sz val="11"/>
      <color theme="10"/>
      <name val="メイリオ"/>
      <family val="2"/>
      <charset val="128"/>
      <scheme val="minor"/>
    </font>
  </fonts>
  <fills count="9">
    <fill>
      <patternFill patternType="none"/>
    </fill>
    <fill>
      <patternFill patternType="gray125"/>
    </fill>
    <fill>
      <patternFill patternType="solid">
        <fgColor theme="4"/>
        <bgColor theme="4"/>
      </patternFill>
    </fill>
    <fill>
      <patternFill patternType="solid">
        <fgColor theme="4" tint="0.59999389629810485"/>
        <bgColor indexed="64"/>
      </patternFill>
    </fill>
    <fill>
      <patternFill patternType="solid">
        <fgColor theme="6"/>
      </patternFill>
    </fill>
    <fill>
      <patternFill patternType="solid">
        <fgColor theme="9" tint="0.79998168889431442"/>
        <bgColor indexed="64"/>
      </patternFill>
    </fill>
    <fill>
      <patternFill patternType="solid">
        <fgColor rgb="FFA5A5A5"/>
      </patternFill>
    </fill>
    <fill>
      <patternFill patternType="solid">
        <fgColor theme="1" tint="0.34998626667073579"/>
        <bgColor indexed="64"/>
      </patternFill>
    </fill>
    <fill>
      <patternFill patternType="solid">
        <fgColor theme="6" tint="0.39997558519241921"/>
        <bgColor indexed="65"/>
      </patternFill>
    </fill>
  </fills>
  <borders count="47">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top/>
      <bottom style="thick">
        <color theme="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ck">
        <color rgb="FFC00000"/>
      </left>
      <right style="thick">
        <color rgb="FFC00000"/>
      </right>
      <top style="thick">
        <color rgb="FFC00000"/>
      </top>
      <bottom style="thin">
        <color theme="0" tint="-4.9989318521683403E-2"/>
      </bottom>
      <diagonal/>
    </border>
    <border>
      <left style="thick">
        <color rgb="FFC00000"/>
      </left>
      <right style="thick">
        <color rgb="FFC00000"/>
      </right>
      <top style="thin">
        <color theme="0" tint="-4.9989318521683403E-2"/>
      </top>
      <bottom style="thin">
        <color theme="0" tint="-4.9989318521683403E-2"/>
      </bottom>
      <diagonal/>
    </border>
    <border>
      <left style="thick">
        <color rgb="FFC00000"/>
      </left>
      <right style="thin">
        <color theme="0" tint="-4.9989318521683403E-2"/>
      </right>
      <top style="thick">
        <color rgb="FFC00000"/>
      </top>
      <bottom style="thin">
        <color theme="0" tint="-4.9989318521683403E-2"/>
      </bottom>
      <diagonal/>
    </border>
    <border>
      <left style="thin">
        <color theme="0" tint="-4.9989318521683403E-2"/>
      </left>
      <right style="thin">
        <color theme="0" tint="-4.9989318521683403E-2"/>
      </right>
      <top style="thick">
        <color rgb="FFC00000"/>
      </top>
      <bottom style="thin">
        <color theme="0" tint="-4.9989318521683403E-2"/>
      </bottom>
      <diagonal/>
    </border>
    <border>
      <left style="thin">
        <color theme="0" tint="-4.9989318521683403E-2"/>
      </left>
      <right style="thick">
        <color rgb="FFC00000"/>
      </right>
      <top style="thick">
        <color rgb="FFC00000"/>
      </top>
      <bottom style="thin">
        <color theme="0" tint="-4.9989318521683403E-2"/>
      </bottom>
      <diagonal/>
    </border>
    <border>
      <left style="thick">
        <color rgb="FFC00000"/>
      </left>
      <right style="thin">
        <color theme="0" tint="-4.9989318521683403E-2"/>
      </right>
      <top style="thin">
        <color theme="0" tint="-4.9989318521683403E-2"/>
      </top>
      <bottom style="thin">
        <color theme="0" tint="-4.9989318521683403E-2"/>
      </bottom>
      <diagonal/>
    </border>
    <border>
      <left style="thin">
        <color theme="0" tint="-4.9989318521683403E-2"/>
      </left>
      <right style="thick">
        <color rgb="FFC00000"/>
      </right>
      <top style="thin">
        <color theme="0" tint="-4.9989318521683403E-2"/>
      </top>
      <bottom style="thin">
        <color theme="0" tint="-4.9989318521683403E-2"/>
      </bottom>
      <diagonal/>
    </border>
    <border>
      <left style="thick">
        <color rgb="FFC00000"/>
      </left>
      <right style="thin">
        <color theme="0" tint="-4.9989318521683403E-2"/>
      </right>
      <top style="thin">
        <color theme="0" tint="-4.9989318521683403E-2"/>
      </top>
      <bottom style="thick">
        <color rgb="FFC00000"/>
      </bottom>
      <diagonal/>
    </border>
    <border>
      <left style="thin">
        <color theme="0" tint="-4.9989318521683403E-2"/>
      </left>
      <right style="thin">
        <color theme="0" tint="-4.9989318521683403E-2"/>
      </right>
      <top style="thin">
        <color theme="0" tint="-4.9989318521683403E-2"/>
      </top>
      <bottom style="thick">
        <color rgb="FFC00000"/>
      </bottom>
      <diagonal/>
    </border>
    <border>
      <left style="thin">
        <color theme="0" tint="-4.9989318521683403E-2"/>
      </left>
      <right style="thick">
        <color rgb="FFC00000"/>
      </right>
      <top style="thin">
        <color theme="0" tint="-4.9989318521683403E-2"/>
      </top>
      <bottom style="thick">
        <color rgb="FFC00000"/>
      </bottom>
      <diagonal/>
    </border>
    <border>
      <left style="thick">
        <color rgb="FFC00000"/>
      </left>
      <right style="thin">
        <color theme="0" tint="-4.9989318521683403E-2"/>
      </right>
      <top style="thick">
        <color rgb="FFC00000"/>
      </top>
      <bottom style="thick">
        <color rgb="FFC00000"/>
      </bottom>
      <diagonal/>
    </border>
    <border>
      <left style="thin">
        <color theme="0" tint="-4.9989318521683403E-2"/>
      </left>
      <right style="thin">
        <color theme="0" tint="-4.9989318521683403E-2"/>
      </right>
      <top style="thick">
        <color rgb="FFC00000"/>
      </top>
      <bottom style="thick">
        <color rgb="FFC00000"/>
      </bottom>
      <diagonal/>
    </border>
    <border>
      <left style="thin">
        <color theme="0" tint="-4.9989318521683403E-2"/>
      </left>
      <right style="thick">
        <color rgb="FFC00000"/>
      </right>
      <top style="thick">
        <color rgb="FFC00000"/>
      </top>
      <bottom style="thick">
        <color rgb="FFC00000"/>
      </bottom>
      <diagonal/>
    </border>
    <border>
      <left style="thick">
        <color rgb="FFC00000"/>
      </left>
      <right style="thin">
        <color theme="0" tint="-4.9989318521683403E-2"/>
      </right>
      <top/>
      <bottom style="thick">
        <color rgb="FFC00000"/>
      </bottom>
      <diagonal/>
    </border>
    <border>
      <left style="thin">
        <color theme="0" tint="-4.9989318521683403E-2"/>
      </left>
      <right style="thin">
        <color theme="0" tint="-4.9989318521683403E-2"/>
      </right>
      <top/>
      <bottom style="thick">
        <color rgb="FFC00000"/>
      </bottom>
      <diagonal/>
    </border>
    <border>
      <left style="thin">
        <color theme="0" tint="-4.9989318521683403E-2"/>
      </left>
      <right style="thick">
        <color rgb="FFC00000"/>
      </right>
      <top/>
      <bottom style="thick">
        <color rgb="FFC00000"/>
      </bottom>
      <diagonal/>
    </border>
    <border>
      <left style="double">
        <color rgb="FF3F3F3F"/>
      </left>
      <right style="double">
        <color rgb="FF3F3F3F"/>
      </right>
      <top style="double">
        <color rgb="FF3F3F3F"/>
      </top>
      <bottom style="double">
        <color rgb="FF3F3F3F"/>
      </bottom>
      <diagonal/>
    </border>
    <border>
      <left/>
      <right/>
      <top/>
      <bottom style="double">
        <color indexed="64"/>
      </bottom>
      <diagonal/>
    </border>
    <border>
      <left style="thin">
        <color rgb="FF3F3F3F"/>
      </left>
      <right/>
      <top style="double">
        <color rgb="FF3F3F3F"/>
      </top>
      <bottom/>
      <diagonal/>
    </border>
    <border>
      <left/>
      <right/>
      <top style="double">
        <color rgb="FF3F3F3F"/>
      </top>
      <bottom/>
      <diagonal/>
    </border>
    <border>
      <left/>
      <right style="thin">
        <color rgb="FF3F3F3F"/>
      </right>
      <top style="double">
        <color rgb="FF3F3F3F"/>
      </top>
      <bottom/>
      <diagonal/>
    </border>
    <border>
      <left style="thin">
        <color rgb="FF3F3F3F"/>
      </left>
      <right/>
      <top/>
      <bottom/>
      <diagonal/>
    </border>
    <border>
      <left/>
      <right style="thin">
        <color rgb="FF3F3F3F"/>
      </right>
      <top/>
      <bottom/>
      <diagonal/>
    </border>
    <border>
      <left style="thin">
        <color rgb="FF3F3F3F"/>
      </left>
      <right/>
      <top/>
      <bottom style="thin">
        <color rgb="FF3F3F3F"/>
      </bottom>
      <diagonal/>
    </border>
    <border>
      <left/>
      <right/>
      <top/>
      <bottom style="thin">
        <color rgb="FF3F3F3F"/>
      </bottom>
      <diagonal/>
    </border>
    <border>
      <left/>
      <right style="thin">
        <color rgb="FF3F3F3F"/>
      </right>
      <top/>
      <bottom style="thin">
        <color rgb="FF3F3F3F"/>
      </bottom>
      <diagonal/>
    </border>
    <border>
      <left style="thick">
        <color rgb="FFC00000"/>
      </left>
      <right style="thick">
        <color rgb="FFC00000"/>
      </right>
      <top style="thick">
        <color rgb="FFC00000"/>
      </top>
      <bottom/>
      <diagonal/>
    </border>
    <border>
      <left/>
      <right/>
      <top style="thick">
        <color rgb="FFC00000"/>
      </top>
      <bottom/>
      <diagonal/>
    </border>
    <border>
      <left/>
      <right/>
      <top/>
      <bottom style="medium">
        <color theme="4" tint="0.39997558519241921"/>
      </bottom>
      <diagonal/>
    </border>
    <border>
      <left style="thin">
        <color theme="0" tint="-4.9989318521683403E-2"/>
      </left>
      <right/>
      <top style="thin">
        <color theme="0" tint="-4.9989318521683403E-2"/>
      </top>
      <bottom style="thick">
        <color rgb="FFC00000"/>
      </bottom>
      <diagonal/>
    </border>
    <border>
      <left style="thick">
        <color rgb="FFC00000"/>
      </left>
      <right style="thick">
        <color rgb="FFC00000"/>
      </right>
      <top style="thin">
        <color theme="0" tint="-4.9989318521683403E-2"/>
      </top>
      <bottom style="thick">
        <color rgb="FFC00000"/>
      </bottom>
      <diagonal/>
    </border>
    <border>
      <left/>
      <right/>
      <top style="thin">
        <color theme="0" tint="-4.9989318521683403E-2"/>
      </top>
      <bottom style="thick">
        <color rgb="FFC00000"/>
      </bottom>
      <diagonal/>
    </border>
    <border>
      <left/>
      <right/>
      <top/>
      <bottom style="thick">
        <color theme="4" tint="0.499984740745262"/>
      </bottom>
      <diagonal/>
    </border>
  </borders>
  <cellStyleXfs count="8">
    <xf numFmtId="0" fontId="0" fillId="0" borderId="0">
      <alignment vertical="center"/>
    </xf>
    <xf numFmtId="0" fontId="3" fillId="4" borderId="0" applyNumberFormat="0" applyBorder="0" applyAlignment="0" applyProtection="0">
      <alignment vertical="center"/>
    </xf>
    <xf numFmtId="0" fontId="1" fillId="6" borderId="30" applyNumberFormat="0" applyAlignment="0" applyProtection="0">
      <alignment vertical="center"/>
    </xf>
    <xf numFmtId="0" fontId="9" fillId="0" borderId="3" applyNumberFormat="0" applyFill="0" applyAlignment="0" applyProtection="0">
      <alignment vertical="center"/>
    </xf>
    <xf numFmtId="0" fontId="10" fillId="0" borderId="42" applyNumberFormat="0" applyFill="0" applyAlignment="0" applyProtection="0">
      <alignment vertical="center"/>
    </xf>
    <xf numFmtId="0" fontId="11" fillId="8" borderId="0" applyNumberFormat="0" applyBorder="0" applyAlignment="0" applyProtection="0">
      <alignment vertical="center"/>
    </xf>
    <xf numFmtId="0" fontId="13" fillId="0" borderId="46" applyNumberFormat="0" applyFill="0" applyAlignment="0" applyProtection="0">
      <alignment vertical="center"/>
    </xf>
    <xf numFmtId="0" fontId="14" fillId="0" borderId="0" applyNumberFormat="0" applyFill="0" applyBorder="0" applyAlignment="0" applyProtection="0">
      <alignment vertical="center"/>
    </xf>
  </cellStyleXfs>
  <cellXfs count="77">
    <xf numFmtId="0" fontId="0" fillId="0" borderId="0" xfId="0">
      <alignment vertical="center"/>
    </xf>
    <xf numFmtId="0" fontId="1" fillId="2" borderId="1" xfId="0" applyFont="1" applyFill="1" applyBorder="1">
      <alignment vertical="center"/>
    </xf>
    <xf numFmtId="0" fontId="1" fillId="2" borderId="2" xfId="0" applyFont="1" applyFill="1" applyBorder="1">
      <alignment vertical="center"/>
    </xf>
    <xf numFmtId="0" fontId="4" fillId="3" borderId="0" xfId="0" applyFont="1" applyFill="1">
      <alignment vertical="center"/>
    </xf>
    <xf numFmtId="0" fontId="5" fillId="0" borderId="0" xfId="0" applyFont="1">
      <alignment vertical="center"/>
    </xf>
    <xf numFmtId="0" fontId="6" fillId="4" borderId="3" xfId="1" applyFont="1" applyBorder="1">
      <alignment vertical="center"/>
    </xf>
    <xf numFmtId="0" fontId="6" fillId="4" borderId="0" xfId="1" applyFont="1" applyBorder="1">
      <alignment vertical="center"/>
    </xf>
    <xf numFmtId="0" fontId="0" fillId="5" borderId="4" xfId="0" applyFill="1" applyBorder="1" applyAlignment="1" applyProtection="1">
      <alignment horizontal="left" vertical="center"/>
    </xf>
    <xf numFmtId="0" fontId="0" fillId="5" borderId="5" xfId="0" applyFill="1" applyBorder="1">
      <alignment vertical="center"/>
    </xf>
    <xf numFmtId="0" fontId="0" fillId="5" borderId="6" xfId="0" applyFill="1" applyBorder="1">
      <alignment vertical="center"/>
    </xf>
    <xf numFmtId="0" fontId="1" fillId="2" borderId="5" xfId="0" applyNumberFormat="1" applyFont="1" applyFill="1" applyBorder="1" applyAlignment="1">
      <alignment vertical="center" shrinkToFit="1"/>
    </xf>
    <xf numFmtId="0" fontId="1" fillId="2" borderId="6" xfId="0" applyNumberFormat="1" applyFont="1" applyFill="1" applyBorder="1" applyAlignment="1">
      <alignment vertical="center" shrinkToFit="1"/>
    </xf>
    <xf numFmtId="0" fontId="0" fillId="5" borderId="11" xfId="0" applyFill="1" applyBorder="1">
      <alignment vertical="center"/>
    </xf>
    <xf numFmtId="0" fontId="0" fillId="5" borderId="12" xfId="0" applyFill="1" applyBorder="1">
      <alignment vertical="center"/>
    </xf>
    <xf numFmtId="0" fontId="0" fillId="5" borderId="9" xfId="0" applyFill="1" applyBorder="1">
      <alignment vertical="center"/>
    </xf>
    <xf numFmtId="0" fontId="0" fillId="5" borderId="10" xfId="0" applyFill="1" applyBorder="1">
      <alignment vertical="center"/>
    </xf>
    <xf numFmtId="0" fontId="1" fillId="2" borderId="13" xfId="0" applyFont="1" applyFill="1" applyBorder="1">
      <alignment vertical="center"/>
    </xf>
    <xf numFmtId="0" fontId="0" fillId="5" borderId="8" xfId="0" applyFill="1" applyBorder="1" applyAlignment="1" applyProtection="1">
      <alignment horizontal="left" vertical="center"/>
    </xf>
    <xf numFmtId="0" fontId="1" fillId="2" borderId="11" xfId="0" applyNumberFormat="1" applyFont="1" applyFill="1" applyBorder="1" applyAlignment="1">
      <alignment vertical="center" shrinkToFit="1"/>
    </xf>
    <xf numFmtId="0" fontId="1" fillId="2" borderId="12" xfId="0" applyNumberFormat="1" applyFont="1" applyFill="1" applyBorder="1" applyAlignment="1">
      <alignment vertical="center" shrinkToFit="1"/>
    </xf>
    <xf numFmtId="0" fontId="1" fillId="2" borderId="7" xfId="0" applyFont="1" applyFill="1" applyBorder="1">
      <alignment vertical="center"/>
    </xf>
    <xf numFmtId="0" fontId="1" fillId="2" borderId="6" xfId="0" applyFont="1" applyFill="1" applyBorder="1" applyAlignment="1">
      <alignment vertical="center" shrinkToFit="1"/>
    </xf>
    <xf numFmtId="0" fontId="1" fillId="2" borderId="6" xfId="0" applyFont="1" applyFill="1" applyBorder="1">
      <alignment vertical="center"/>
    </xf>
    <xf numFmtId="0" fontId="1" fillId="2" borderId="10" xfId="0" applyFont="1" applyFill="1" applyBorder="1">
      <alignment vertical="center"/>
    </xf>
    <xf numFmtId="0" fontId="0" fillId="0" borderId="14" xfId="0" applyBorder="1">
      <alignment vertical="center"/>
    </xf>
    <xf numFmtId="0" fontId="0" fillId="0" borderId="15" xfId="0" applyBorder="1">
      <alignment vertical="center"/>
    </xf>
    <xf numFmtId="0" fontId="8" fillId="0" borderId="0" xfId="0" applyFont="1">
      <alignment vertical="center"/>
    </xf>
    <xf numFmtId="176" fontId="0" fillId="0" borderId="0" xfId="0" applyNumberFormat="1">
      <alignment vertical="center"/>
    </xf>
    <xf numFmtId="0" fontId="0" fillId="0" borderId="0" xfId="0" applyBorder="1" applyAlignment="1">
      <alignment horizontal="center" vertical="center"/>
    </xf>
    <xf numFmtId="0" fontId="0" fillId="0" borderId="0" xfId="0" applyAlignment="1">
      <alignment horizontal="right" vertical="center"/>
    </xf>
    <xf numFmtId="0" fontId="0" fillId="0" borderId="40" xfId="0" applyBorder="1">
      <alignment vertical="center"/>
    </xf>
    <xf numFmtId="0" fontId="0" fillId="0" borderId="41" xfId="0" applyBorder="1">
      <alignment vertical="center"/>
    </xf>
    <xf numFmtId="0" fontId="0" fillId="7" borderId="0" xfId="0" applyFill="1">
      <alignment vertical="center"/>
    </xf>
    <xf numFmtId="0" fontId="0" fillId="0" borderId="0" xfId="0" applyFill="1" applyBorder="1">
      <alignment vertical="center"/>
    </xf>
    <xf numFmtId="0" fontId="9" fillId="0" borderId="3" xfId="3">
      <alignment vertical="center"/>
    </xf>
    <xf numFmtId="0" fontId="10" fillId="0" borderId="42" xfId="4">
      <alignment vertical="center"/>
    </xf>
    <xf numFmtId="0" fontId="0" fillId="0" borderId="0" xfId="0" applyBorder="1">
      <alignment vertical="center"/>
    </xf>
    <xf numFmtId="0" fontId="0" fillId="5" borderId="22" xfId="0" applyFill="1" applyBorder="1" applyAlignment="1" applyProtection="1">
      <alignment horizontal="left" vertical="center"/>
    </xf>
    <xf numFmtId="0" fontId="1" fillId="2" borderId="43" xfId="0" applyNumberFormat="1" applyFont="1" applyFill="1" applyBorder="1" applyAlignment="1">
      <alignment vertical="center" shrinkToFit="1"/>
    </xf>
    <xf numFmtId="0" fontId="0" fillId="0" borderId="44" xfId="0" applyBorder="1">
      <alignment vertical="center"/>
    </xf>
    <xf numFmtId="0" fontId="1" fillId="2" borderId="45" xfId="0" applyNumberFormat="1" applyFont="1" applyFill="1" applyBorder="1" applyAlignment="1">
      <alignment vertical="center" shrinkToFit="1"/>
    </xf>
    <xf numFmtId="0" fontId="0" fillId="0" borderId="0" xfId="0" applyFill="1">
      <alignment vertical="center"/>
    </xf>
    <xf numFmtId="0" fontId="0" fillId="0" borderId="0" xfId="0" applyAlignment="1">
      <alignment vertical="center" shrinkToFit="1"/>
    </xf>
    <xf numFmtId="0" fontId="11" fillId="8" borderId="0" xfId="5">
      <alignment vertical="center"/>
    </xf>
    <xf numFmtId="0" fontId="0" fillId="8" borderId="0" xfId="5" applyFont="1">
      <alignment vertical="center"/>
    </xf>
    <xf numFmtId="0" fontId="14" fillId="0" borderId="0" xfId="7">
      <alignment vertical="center"/>
    </xf>
    <xf numFmtId="0" fontId="13" fillId="0" borderId="46" xfId="6">
      <alignment vertical="center"/>
    </xf>
    <xf numFmtId="0" fontId="0" fillId="0" borderId="24" xfId="0" quotePrefix="1" applyBorder="1" applyAlignment="1">
      <alignment horizontal="left" vertical="top" wrapText="1"/>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center"/>
    </xf>
    <xf numFmtId="0" fontId="0" fillId="0" borderId="28" xfId="0" applyBorder="1" applyAlignment="1">
      <alignment horizontal="left" vertical="center"/>
    </xf>
    <xf numFmtId="0" fontId="0" fillId="0" borderId="29" xfId="0" applyBorder="1" applyAlignment="1">
      <alignment horizontal="left" vertical="center"/>
    </xf>
    <xf numFmtId="0" fontId="7" fillId="0" borderId="21" xfId="0" applyFont="1" applyBorder="1" applyAlignment="1">
      <alignment horizontal="left" vertical="center"/>
    </xf>
    <xf numFmtId="0" fontId="7" fillId="0" borderId="22" xfId="0" applyFont="1" applyBorder="1" applyAlignment="1">
      <alignment horizontal="left" vertical="center"/>
    </xf>
    <xf numFmtId="0" fontId="7" fillId="0" borderId="23" xfId="0" applyFont="1" applyBorder="1" applyAlignment="1">
      <alignment horizontal="left" vertical="center"/>
    </xf>
    <xf numFmtId="0" fontId="7" fillId="0" borderId="19" xfId="0" applyFont="1" applyBorder="1" applyAlignment="1">
      <alignment horizontal="left" vertical="center"/>
    </xf>
    <xf numFmtId="0" fontId="7" fillId="0" borderId="4" xfId="0" applyFont="1" applyBorder="1" applyAlignment="1">
      <alignment horizontal="left" vertical="center"/>
    </xf>
    <xf numFmtId="0" fontId="7" fillId="0" borderId="20" xfId="0" applyFont="1" applyBorder="1" applyAlignment="1">
      <alignment horizontal="left" vertical="center"/>
    </xf>
    <xf numFmtId="0" fontId="7" fillId="0" borderId="16" xfId="0" applyFont="1" applyBorder="1" applyAlignment="1">
      <alignment horizontal="left" vertical="center"/>
    </xf>
    <xf numFmtId="0" fontId="7" fillId="0" borderId="17" xfId="0" applyFont="1" applyBorder="1" applyAlignment="1">
      <alignment horizontal="left" vertical="center"/>
    </xf>
    <xf numFmtId="0" fontId="7" fillId="0" borderId="18" xfId="0" applyFont="1" applyBorder="1" applyAlignment="1">
      <alignment horizontal="left" vertical="center"/>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center" vertical="center"/>
    </xf>
    <xf numFmtId="177" fontId="0" fillId="0" borderId="0" xfId="0" applyNumberFormat="1" applyAlignment="1">
      <alignment horizontal="right" vertical="center" shrinkToFit="1"/>
    </xf>
    <xf numFmtId="0" fontId="0" fillId="0" borderId="32" xfId="0" applyBorder="1" applyAlignment="1">
      <alignment horizontal="left" vertical="top" wrapText="1"/>
    </xf>
    <xf numFmtId="0" fontId="0" fillId="0" borderId="33"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Border="1" applyAlignment="1">
      <alignment horizontal="left" vertical="top" wrapText="1"/>
    </xf>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1" fillId="6" borderId="30" xfId="2" applyAlignment="1">
      <alignment horizontal="center" vertical="center"/>
    </xf>
  </cellXfs>
  <cellStyles count="8">
    <cellStyle name="60% - アクセント 3" xfId="5" builtinId="40"/>
    <cellStyle name="アクセント 3" xfId="1" builtinId="37"/>
    <cellStyle name="チェック セル" xfId="2" builtinId="23"/>
    <cellStyle name="ハイパーリンク" xfId="7" builtinId="8"/>
    <cellStyle name="見出し 1" xfId="3" builtinId="16"/>
    <cellStyle name="見出し 2" xfId="6" builtinId="17"/>
    <cellStyle name="見出し 3" xfId="4" builtinId="18"/>
    <cellStyle name="標準" xfId="0" builtinId="0"/>
  </cellStyles>
  <dxfs count="6">
    <dxf>
      <font>
        <b val="0"/>
        <i val="0"/>
        <strike val="0"/>
        <condense val="0"/>
        <extend val="0"/>
        <outline val="0"/>
        <shadow val="0"/>
        <u val="none"/>
        <vertAlign val="baseline"/>
        <sz val="11"/>
        <color theme="1"/>
        <name val="メイリオ"/>
        <family val="3"/>
        <charset val="128"/>
        <scheme val="major"/>
      </font>
      <fill>
        <patternFill patternType="solid">
          <fgColor indexed="64"/>
          <bgColor theme="4" tint="0.59999389629810485"/>
        </patternFill>
      </fil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メイリオ"/>
        <family val="2"/>
        <charset val="128"/>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247650</xdr:colOff>
      <xdr:row>0</xdr:row>
      <xdr:rowOff>66675</xdr:rowOff>
    </xdr:from>
    <xdr:to>
      <xdr:col>2</xdr:col>
      <xdr:colOff>590550</xdr:colOff>
      <xdr:row>1</xdr:row>
      <xdr:rowOff>190500</xdr:rowOff>
    </xdr:to>
    <xdr:sp macro="[0]!新レコード追加" textlink="">
      <xdr:nvSpPr>
        <xdr:cNvPr id="2" name="正方形/長方形 1">
          <a:extLst>
            <a:ext uri="{FF2B5EF4-FFF2-40B4-BE49-F238E27FC236}">
              <a16:creationId xmlns:a16="http://schemas.microsoft.com/office/drawing/2014/main" id="{00000000-0008-0000-0000-000002000000}"/>
            </a:ext>
          </a:extLst>
        </xdr:cNvPr>
        <xdr:cNvSpPr/>
      </xdr:nvSpPr>
      <xdr:spPr>
        <a:xfrm>
          <a:off x="752475" y="66675"/>
          <a:ext cx="781050" cy="371475"/>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j-ea"/>
              <a:ea typeface="+mj-ea"/>
            </a:rPr>
            <a:t>行追加</a:t>
          </a:r>
        </a:p>
      </xdr:txBody>
    </xdr:sp>
    <xdr:clientData/>
  </xdr:twoCellAnchor>
  <xdr:twoCellAnchor>
    <xdr:from>
      <xdr:col>2</xdr:col>
      <xdr:colOff>590550</xdr:colOff>
      <xdr:row>0</xdr:row>
      <xdr:rowOff>66675</xdr:rowOff>
    </xdr:from>
    <xdr:to>
      <xdr:col>3</xdr:col>
      <xdr:colOff>533400</xdr:colOff>
      <xdr:row>1</xdr:row>
      <xdr:rowOff>190500</xdr:rowOff>
    </xdr:to>
    <xdr:sp macro="[0]!全許可" textlink="">
      <xdr:nvSpPr>
        <xdr:cNvPr id="27" name="正方形/長方形 26">
          <a:extLst>
            <a:ext uri="{FF2B5EF4-FFF2-40B4-BE49-F238E27FC236}">
              <a16:creationId xmlns:a16="http://schemas.microsoft.com/office/drawing/2014/main" id="{00000000-0008-0000-0000-00001B000000}"/>
            </a:ext>
          </a:extLst>
        </xdr:cNvPr>
        <xdr:cNvSpPr/>
      </xdr:nvSpPr>
      <xdr:spPr>
        <a:xfrm>
          <a:off x="1533525" y="66675"/>
          <a:ext cx="923925" cy="371475"/>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n-ea"/>
              <a:ea typeface="+mn-ea"/>
            </a:rPr>
            <a:t>全てに〇</a:t>
          </a:r>
        </a:p>
      </xdr:txBody>
    </xdr:sp>
    <xdr:clientData/>
  </xdr:twoCellAnchor>
  <xdr:twoCellAnchor>
    <xdr:from>
      <xdr:col>3</xdr:col>
      <xdr:colOff>542924</xdr:colOff>
      <xdr:row>0</xdr:row>
      <xdr:rowOff>66675</xdr:rowOff>
    </xdr:from>
    <xdr:to>
      <xdr:col>4</xdr:col>
      <xdr:colOff>685800</xdr:colOff>
      <xdr:row>1</xdr:row>
      <xdr:rowOff>190500</xdr:rowOff>
    </xdr:to>
    <xdr:sp macro="[0]!全不可" textlink="">
      <xdr:nvSpPr>
        <xdr:cNvPr id="28" name="正方形/長方形 27">
          <a:extLst>
            <a:ext uri="{FF2B5EF4-FFF2-40B4-BE49-F238E27FC236}">
              <a16:creationId xmlns:a16="http://schemas.microsoft.com/office/drawing/2014/main" id="{00000000-0008-0000-0000-00001C000000}"/>
            </a:ext>
          </a:extLst>
        </xdr:cNvPr>
        <xdr:cNvSpPr/>
      </xdr:nvSpPr>
      <xdr:spPr>
        <a:xfrm>
          <a:off x="2466974" y="66675"/>
          <a:ext cx="904876" cy="371475"/>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n-ea"/>
              <a:ea typeface="+mn-ea"/>
            </a:rPr>
            <a:t>全てに</a:t>
          </a:r>
          <a:r>
            <a:rPr kumimoji="1" lang="en-US" altLang="ja-JP" sz="1100">
              <a:latin typeface="+mn-ea"/>
              <a:ea typeface="+mn-ea"/>
            </a:rPr>
            <a:t>×</a:t>
          </a:r>
          <a:endParaRPr kumimoji="1" lang="ja-JP" altLang="en-US" sz="1100">
            <a:latin typeface="+mn-ea"/>
            <a:ea typeface="+mn-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200025</xdr:colOff>
      <xdr:row>0</xdr:row>
      <xdr:rowOff>76200</xdr:rowOff>
    </xdr:from>
    <xdr:to>
      <xdr:col>1</xdr:col>
      <xdr:colOff>1123950</xdr:colOff>
      <xdr:row>1</xdr:row>
      <xdr:rowOff>200025</xdr:rowOff>
    </xdr:to>
    <xdr:sp macro="[0]!個別にメール配信" textlink="">
      <xdr:nvSpPr>
        <xdr:cNvPr id="2" name="正方形/長方形 1">
          <a:extLst>
            <a:ext uri="{FF2B5EF4-FFF2-40B4-BE49-F238E27FC236}">
              <a16:creationId xmlns:a16="http://schemas.microsoft.com/office/drawing/2014/main" id="{00000000-0008-0000-0100-000002000000}"/>
            </a:ext>
          </a:extLst>
        </xdr:cNvPr>
        <xdr:cNvSpPr/>
      </xdr:nvSpPr>
      <xdr:spPr>
        <a:xfrm>
          <a:off x="1047750" y="76200"/>
          <a:ext cx="923925" cy="36195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n-ea"/>
              <a:ea typeface="+mn-ea"/>
            </a:rPr>
            <a:t>個別に配信</a:t>
          </a:r>
        </a:p>
      </xdr:txBody>
    </xdr:sp>
    <xdr:clientData/>
  </xdr:twoCellAnchor>
  <xdr:twoCellAnchor>
    <xdr:from>
      <xdr:col>1</xdr:col>
      <xdr:colOff>1133475</xdr:colOff>
      <xdr:row>0</xdr:row>
      <xdr:rowOff>76200</xdr:rowOff>
    </xdr:from>
    <xdr:to>
      <xdr:col>1</xdr:col>
      <xdr:colOff>2600325</xdr:colOff>
      <xdr:row>1</xdr:row>
      <xdr:rowOff>200025</xdr:rowOff>
    </xdr:to>
    <xdr:sp macro="[0]!マルを対象にメール配信" textlink="">
      <xdr:nvSpPr>
        <xdr:cNvPr id="3" name="正方形/長方形 2">
          <a:extLst>
            <a:ext uri="{FF2B5EF4-FFF2-40B4-BE49-F238E27FC236}">
              <a16:creationId xmlns:a16="http://schemas.microsoft.com/office/drawing/2014/main" id="{00000000-0008-0000-0100-000003000000}"/>
            </a:ext>
          </a:extLst>
        </xdr:cNvPr>
        <xdr:cNvSpPr/>
      </xdr:nvSpPr>
      <xdr:spPr>
        <a:xfrm>
          <a:off x="1981200" y="76200"/>
          <a:ext cx="1466850" cy="36195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n-ea"/>
              <a:ea typeface="+mn-ea"/>
            </a:rPr>
            <a:t>〇を対象に配信</a:t>
          </a:r>
        </a:p>
      </xdr:txBody>
    </xdr:sp>
    <xdr:clientData/>
  </xdr:twoCellAnchor>
  <xdr:twoCellAnchor>
    <xdr:from>
      <xdr:col>1</xdr:col>
      <xdr:colOff>2609849</xdr:colOff>
      <xdr:row>0</xdr:row>
      <xdr:rowOff>76200</xdr:rowOff>
    </xdr:from>
    <xdr:to>
      <xdr:col>2</xdr:col>
      <xdr:colOff>609599</xdr:colOff>
      <xdr:row>1</xdr:row>
      <xdr:rowOff>200025</xdr:rowOff>
    </xdr:to>
    <xdr:sp macro="[0]!マルANDMAILを対象にメール配信" textlink="">
      <xdr:nvSpPr>
        <xdr:cNvPr id="4" name="正方形/長方形 3">
          <a:extLst>
            <a:ext uri="{FF2B5EF4-FFF2-40B4-BE49-F238E27FC236}">
              <a16:creationId xmlns:a16="http://schemas.microsoft.com/office/drawing/2014/main" id="{00000000-0008-0000-0100-000004000000}"/>
            </a:ext>
          </a:extLst>
        </xdr:cNvPr>
        <xdr:cNvSpPr/>
      </xdr:nvSpPr>
      <xdr:spPr>
        <a:xfrm>
          <a:off x="3457574" y="76200"/>
          <a:ext cx="1628775" cy="36195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n-ea"/>
              <a:ea typeface="+mn-ea"/>
            </a:rPr>
            <a:t>〇</a:t>
          </a:r>
          <a:r>
            <a:rPr kumimoji="1" lang="en-US" altLang="ja-JP" sz="1100">
              <a:latin typeface="+mn-ea"/>
              <a:ea typeface="+mn-ea"/>
            </a:rPr>
            <a:t>&amp;MAIL</a:t>
          </a:r>
          <a:r>
            <a:rPr kumimoji="1" lang="ja-JP" altLang="en-US" sz="1100">
              <a:latin typeface="+mn-ea"/>
              <a:ea typeface="+mn-ea"/>
            </a:rPr>
            <a:t>を対象に配信</a:t>
          </a:r>
        </a:p>
      </xdr:txBody>
    </xdr:sp>
    <xdr:clientData/>
  </xdr:twoCellAnchor>
  <mc:AlternateContent xmlns:mc="http://schemas.openxmlformats.org/markup-compatibility/2006">
    <mc:Choice xmlns:a14="http://schemas.microsoft.com/office/drawing/2010/main" Requires="a14">
      <xdr:twoCellAnchor editAs="oneCell">
        <xdr:from>
          <xdr:col>5</xdr:col>
          <xdr:colOff>28575</xdr:colOff>
          <xdr:row>5</xdr:row>
          <xdr:rowOff>38100</xdr:rowOff>
        </xdr:from>
        <xdr:to>
          <xdr:col>5</xdr:col>
          <xdr:colOff>742950</xdr:colOff>
          <xdr:row>5</xdr:row>
          <xdr:rowOff>219075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600" b="0" i="0" u="none" strike="noStrike" baseline="0">
                  <a:solidFill>
                    <a:srgbClr val="000000"/>
                  </a:solidFill>
                  <a:latin typeface="メイリオ"/>
                  <a:ea typeface="メイリオ"/>
                </a:rPr>
                <a:t>ファイル名取得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xdr:row>
          <xdr:rowOff>38100</xdr:rowOff>
        </xdr:from>
        <xdr:to>
          <xdr:col>5</xdr:col>
          <xdr:colOff>742950</xdr:colOff>
          <xdr:row>6</xdr:row>
          <xdr:rowOff>219075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600" b="0" i="0" u="none" strike="noStrike" baseline="0">
                  <a:solidFill>
                    <a:srgbClr val="000000"/>
                  </a:solidFill>
                  <a:latin typeface="メイリオ"/>
                  <a:ea typeface="メイリオ"/>
                </a:rPr>
                <a:t>ファイル名取得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38100</xdr:rowOff>
        </xdr:from>
        <xdr:to>
          <xdr:col>5</xdr:col>
          <xdr:colOff>742950</xdr:colOff>
          <xdr:row>7</xdr:row>
          <xdr:rowOff>219075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600" b="0" i="0" u="none" strike="noStrike" baseline="0">
                  <a:solidFill>
                    <a:srgbClr val="000000"/>
                  </a:solidFill>
                  <a:latin typeface="メイリオ"/>
                  <a:ea typeface="メイリオ"/>
                </a:rPr>
                <a:t>ファイル名取得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133350</xdr:colOff>
      <xdr:row>0</xdr:row>
      <xdr:rowOff>66675</xdr:rowOff>
    </xdr:from>
    <xdr:to>
      <xdr:col>1</xdr:col>
      <xdr:colOff>1390650</xdr:colOff>
      <xdr:row>1</xdr:row>
      <xdr:rowOff>180975</xdr:rowOff>
    </xdr:to>
    <xdr:sp macro="[0]!マルを対象に印刷する" textlink="">
      <xdr:nvSpPr>
        <xdr:cNvPr id="2" name="正方形/長方形 1">
          <a:extLst>
            <a:ext uri="{FF2B5EF4-FFF2-40B4-BE49-F238E27FC236}">
              <a16:creationId xmlns:a16="http://schemas.microsoft.com/office/drawing/2014/main" id="{00000000-0008-0000-0200-000002000000}"/>
            </a:ext>
          </a:extLst>
        </xdr:cNvPr>
        <xdr:cNvSpPr/>
      </xdr:nvSpPr>
      <xdr:spPr>
        <a:xfrm>
          <a:off x="857250" y="66675"/>
          <a:ext cx="1257300" cy="36195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n-ea"/>
              <a:ea typeface="+mn-ea"/>
            </a:rPr>
            <a:t>〇を対象に印刷</a:t>
          </a:r>
        </a:p>
      </xdr:txBody>
    </xdr:sp>
    <xdr:clientData/>
  </xdr:twoCellAnchor>
  <xdr:twoCellAnchor>
    <xdr:from>
      <xdr:col>1</xdr:col>
      <xdr:colOff>1400174</xdr:colOff>
      <xdr:row>0</xdr:row>
      <xdr:rowOff>66675</xdr:rowOff>
    </xdr:from>
    <xdr:to>
      <xdr:col>2</xdr:col>
      <xdr:colOff>657225</xdr:colOff>
      <xdr:row>1</xdr:row>
      <xdr:rowOff>180975</xdr:rowOff>
    </xdr:to>
    <xdr:sp macro="[0]!マルANDFAXを対象に印刷する" textlink="">
      <xdr:nvSpPr>
        <xdr:cNvPr id="3" name="正方形/長方形 2">
          <a:extLst>
            <a:ext uri="{FF2B5EF4-FFF2-40B4-BE49-F238E27FC236}">
              <a16:creationId xmlns:a16="http://schemas.microsoft.com/office/drawing/2014/main" id="{00000000-0008-0000-0200-000003000000}"/>
            </a:ext>
          </a:extLst>
        </xdr:cNvPr>
        <xdr:cNvSpPr/>
      </xdr:nvSpPr>
      <xdr:spPr>
        <a:xfrm>
          <a:off x="2124074" y="66675"/>
          <a:ext cx="1590676" cy="36195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kumimoji="1" lang="ja-JP" altLang="en-US" sz="1100">
              <a:latin typeface="+mn-ea"/>
              <a:ea typeface="+mn-ea"/>
            </a:rPr>
            <a:t>〇</a:t>
          </a:r>
          <a:r>
            <a:rPr kumimoji="1" lang="en-US" altLang="ja-JP" sz="1100">
              <a:latin typeface="+mn-ea"/>
              <a:ea typeface="+mn-ea"/>
            </a:rPr>
            <a:t>&amp;FAX</a:t>
          </a:r>
          <a:r>
            <a:rPr kumimoji="1" lang="ja-JP" altLang="en-US" sz="1100">
              <a:latin typeface="+mn-ea"/>
              <a:ea typeface="+mn-ea"/>
            </a:rPr>
            <a:t>を対象に印刷</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42</xdr:row>
      <xdr:rowOff>28576</xdr:rowOff>
    </xdr:from>
    <xdr:to>
      <xdr:col>0</xdr:col>
      <xdr:colOff>5838825</xdr:colOff>
      <xdr:row>46</xdr:row>
      <xdr:rowOff>25687</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2505076"/>
          <a:ext cx="5838825" cy="949611"/>
        </a:xfrm>
        <a:prstGeom prst="rect">
          <a:avLst/>
        </a:prstGeom>
      </xdr:spPr>
    </xdr:pic>
    <xdr:clientData/>
  </xdr:twoCellAnchor>
  <xdr:twoCellAnchor>
    <xdr:from>
      <xdr:col>0</xdr:col>
      <xdr:colOff>514350</xdr:colOff>
      <xdr:row>41</xdr:row>
      <xdr:rowOff>66675</xdr:rowOff>
    </xdr:from>
    <xdr:to>
      <xdr:col>0</xdr:col>
      <xdr:colOff>514350</xdr:colOff>
      <xdr:row>42</xdr:row>
      <xdr:rowOff>85725</xdr:rowOff>
    </xdr:to>
    <xdr:cxnSp macro="">
      <xdr:nvCxnSpPr>
        <xdr:cNvPr id="4" name="直線矢印コネクタ 3">
          <a:extLst>
            <a:ext uri="{FF2B5EF4-FFF2-40B4-BE49-F238E27FC236}">
              <a16:creationId xmlns:a16="http://schemas.microsoft.com/office/drawing/2014/main" id="{00000000-0008-0000-0300-000004000000}"/>
            </a:ext>
          </a:extLst>
        </xdr:cNvPr>
        <xdr:cNvCxnSpPr/>
      </xdr:nvCxnSpPr>
      <xdr:spPr>
        <a:xfrm flipV="1">
          <a:off x="514350" y="2305050"/>
          <a:ext cx="0" cy="257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876300</xdr:colOff>
      <xdr:row>41</xdr:row>
      <xdr:rowOff>85725</xdr:rowOff>
    </xdr:from>
    <xdr:to>
      <xdr:col>0</xdr:col>
      <xdr:colOff>876300</xdr:colOff>
      <xdr:row>42</xdr:row>
      <xdr:rowOff>104775</xdr:rowOff>
    </xdr:to>
    <xdr:cxnSp macro="">
      <xdr:nvCxnSpPr>
        <xdr:cNvPr id="5" name="直線矢印コネクタ 4">
          <a:extLst>
            <a:ext uri="{FF2B5EF4-FFF2-40B4-BE49-F238E27FC236}">
              <a16:creationId xmlns:a16="http://schemas.microsoft.com/office/drawing/2014/main" id="{00000000-0008-0000-0300-000005000000}"/>
            </a:ext>
          </a:extLst>
        </xdr:cNvPr>
        <xdr:cNvCxnSpPr/>
      </xdr:nvCxnSpPr>
      <xdr:spPr>
        <a:xfrm flipV="1">
          <a:off x="876300" y="2324100"/>
          <a:ext cx="0" cy="257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1266825</xdr:colOff>
      <xdr:row>41</xdr:row>
      <xdr:rowOff>95250</xdr:rowOff>
    </xdr:from>
    <xdr:to>
      <xdr:col>0</xdr:col>
      <xdr:colOff>1266825</xdr:colOff>
      <xdr:row>42</xdr:row>
      <xdr:rowOff>114300</xdr:rowOff>
    </xdr:to>
    <xdr:cxnSp macro="">
      <xdr:nvCxnSpPr>
        <xdr:cNvPr id="6" name="直線矢印コネクタ 5">
          <a:extLst>
            <a:ext uri="{FF2B5EF4-FFF2-40B4-BE49-F238E27FC236}">
              <a16:creationId xmlns:a16="http://schemas.microsoft.com/office/drawing/2014/main" id="{00000000-0008-0000-0300-000006000000}"/>
            </a:ext>
          </a:extLst>
        </xdr:cNvPr>
        <xdr:cNvCxnSpPr/>
      </xdr:nvCxnSpPr>
      <xdr:spPr>
        <a:xfrm flipV="1">
          <a:off x="1266825" y="2333625"/>
          <a:ext cx="0" cy="257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352425</xdr:colOff>
      <xdr:row>40</xdr:row>
      <xdr:rowOff>9525</xdr:rowOff>
    </xdr:from>
    <xdr:ext cx="325730" cy="367408"/>
    <xdr:sp macro="" textlink="">
      <xdr:nvSpPr>
        <xdr:cNvPr id="7" name="テキスト ボックス 6">
          <a:extLst>
            <a:ext uri="{FF2B5EF4-FFF2-40B4-BE49-F238E27FC236}">
              <a16:creationId xmlns:a16="http://schemas.microsoft.com/office/drawing/2014/main" id="{00000000-0008-0000-0300-000007000000}"/>
            </a:ext>
          </a:extLst>
        </xdr:cNvPr>
        <xdr:cNvSpPr txBox="1"/>
      </xdr:nvSpPr>
      <xdr:spPr>
        <a:xfrm>
          <a:off x="352425" y="20097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①</a:t>
          </a:r>
        </a:p>
      </xdr:txBody>
    </xdr:sp>
    <xdr:clientData/>
  </xdr:oneCellAnchor>
  <xdr:oneCellAnchor>
    <xdr:from>
      <xdr:col>0</xdr:col>
      <xdr:colOff>723900</xdr:colOff>
      <xdr:row>40</xdr:row>
      <xdr:rowOff>9525</xdr:rowOff>
    </xdr:from>
    <xdr:ext cx="325730" cy="367408"/>
    <xdr:sp macro="" textlink="">
      <xdr:nvSpPr>
        <xdr:cNvPr id="8" name="テキスト ボックス 7">
          <a:extLst>
            <a:ext uri="{FF2B5EF4-FFF2-40B4-BE49-F238E27FC236}">
              <a16:creationId xmlns:a16="http://schemas.microsoft.com/office/drawing/2014/main" id="{00000000-0008-0000-0300-000008000000}"/>
            </a:ext>
          </a:extLst>
        </xdr:cNvPr>
        <xdr:cNvSpPr txBox="1"/>
      </xdr:nvSpPr>
      <xdr:spPr>
        <a:xfrm>
          <a:off x="723900" y="20097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②</a:t>
          </a:r>
        </a:p>
      </xdr:txBody>
    </xdr:sp>
    <xdr:clientData/>
  </xdr:oneCellAnchor>
  <xdr:oneCellAnchor>
    <xdr:from>
      <xdr:col>0</xdr:col>
      <xdr:colOff>1104900</xdr:colOff>
      <xdr:row>40</xdr:row>
      <xdr:rowOff>9525</xdr:rowOff>
    </xdr:from>
    <xdr:ext cx="325730" cy="367408"/>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04900" y="20097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③</a:t>
          </a:r>
        </a:p>
      </xdr:txBody>
    </xdr:sp>
    <xdr:clientData/>
  </xdr:oneCellAnchor>
  <xdr:oneCellAnchor>
    <xdr:from>
      <xdr:col>0</xdr:col>
      <xdr:colOff>0</xdr:colOff>
      <xdr:row>45</xdr:row>
      <xdr:rowOff>76200</xdr:rowOff>
    </xdr:from>
    <xdr:ext cx="325730" cy="367408"/>
    <xdr:sp macro="" textlink="">
      <xdr:nvSpPr>
        <xdr:cNvPr id="10" name="テキスト ボックス 9">
          <a:extLst>
            <a:ext uri="{FF2B5EF4-FFF2-40B4-BE49-F238E27FC236}">
              <a16:creationId xmlns:a16="http://schemas.microsoft.com/office/drawing/2014/main" id="{00000000-0008-0000-0300-00000A000000}"/>
            </a:ext>
          </a:extLst>
        </xdr:cNvPr>
        <xdr:cNvSpPr txBox="1"/>
      </xdr:nvSpPr>
      <xdr:spPr>
        <a:xfrm>
          <a:off x="0" y="32670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④</a:t>
          </a:r>
        </a:p>
      </xdr:txBody>
    </xdr:sp>
    <xdr:clientData/>
  </xdr:oneCellAnchor>
  <xdr:oneCellAnchor>
    <xdr:from>
      <xdr:col>0</xdr:col>
      <xdr:colOff>238125</xdr:colOff>
      <xdr:row>45</xdr:row>
      <xdr:rowOff>76200</xdr:rowOff>
    </xdr:from>
    <xdr:ext cx="325730" cy="367408"/>
    <xdr:sp macro="" textlink="">
      <xdr:nvSpPr>
        <xdr:cNvPr id="11" name="テキスト ボックス 10">
          <a:extLst>
            <a:ext uri="{FF2B5EF4-FFF2-40B4-BE49-F238E27FC236}">
              <a16:creationId xmlns:a16="http://schemas.microsoft.com/office/drawing/2014/main" id="{00000000-0008-0000-0300-00000B000000}"/>
            </a:ext>
          </a:extLst>
        </xdr:cNvPr>
        <xdr:cNvSpPr txBox="1"/>
      </xdr:nvSpPr>
      <xdr:spPr>
        <a:xfrm>
          <a:off x="238125" y="32670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⑤</a:t>
          </a:r>
        </a:p>
      </xdr:txBody>
    </xdr:sp>
    <xdr:clientData/>
  </xdr:oneCellAnchor>
  <xdr:oneCellAnchor>
    <xdr:from>
      <xdr:col>0</xdr:col>
      <xdr:colOff>495300</xdr:colOff>
      <xdr:row>45</xdr:row>
      <xdr:rowOff>76200</xdr:rowOff>
    </xdr:from>
    <xdr:ext cx="325730" cy="367408"/>
    <xdr:sp macro="" textlink="">
      <xdr:nvSpPr>
        <xdr:cNvPr id="12" name="テキスト ボックス 11">
          <a:extLst>
            <a:ext uri="{FF2B5EF4-FFF2-40B4-BE49-F238E27FC236}">
              <a16:creationId xmlns:a16="http://schemas.microsoft.com/office/drawing/2014/main" id="{00000000-0008-0000-0300-00000C000000}"/>
            </a:ext>
          </a:extLst>
        </xdr:cNvPr>
        <xdr:cNvSpPr txBox="1"/>
      </xdr:nvSpPr>
      <xdr:spPr>
        <a:xfrm>
          <a:off x="495300" y="32670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⑥</a:t>
          </a:r>
        </a:p>
      </xdr:txBody>
    </xdr:sp>
    <xdr:clientData/>
  </xdr:oneCellAnchor>
  <xdr:oneCellAnchor>
    <xdr:from>
      <xdr:col>0</xdr:col>
      <xdr:colOff>838200</xdr:colOff>
      <xdr:row>45</xdr:row>
      <xdr:rowOff>85725</xdr:rowOff>
    </xdr:from>
    <xdr:ext cx="325730" cy="367408"/>
    <xdr:sp macro="" textlink="">
      <xdr:nvSpPr>
        <xdr:cNvPr id="13" name="テキスト ボックス 12">
          <a:extLst>
            <a:ext uri="{FF2B5EF4-FFF2-40B4-BE49-F238E27FC236}">
              <a16:creationId xmlns:a16="http://schemas.microsoft.com/office/drawing/2014/main" id="{00000000-0008-0000-0300-00000D000000}"/>
            </a:ext>
          </a:extLst>
        </xdr:cNvPr>
        <xdr:cNvSpPr txBox="1"/>
      </xdr:nvSpPr>
      <xdr:spPr>
        <a:xfrm>
          <a:off x="838200"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⑦</a:t>
          </a:r>
        </a:p>
      </xdr:txBody>
    </xdr:sp>
    <xdr:clientData/>
  </xdr:oneCellAnchor>
  <xdr:oneCellAnchor>
    <xdr:from>
      <xdr:col>0</xdr:col>
      <xdr:colOff>1190625</xdr:colOff>
      <xdr:row>45</xdr:row>
      <xdr:rowOff>85725</xdr:rowOff>
    </xdr:from>
    <xdr:ext cx="325730" cy="367408"/>
    <xdr:sp macro="" textlink="">
      <xdr:nvSpPr>
        <xdr:cNvPr id="14" name="テキスト ボックス 13">
          <a:extLst>
            <a:ext uri="{FF2B5EF4-FFF2-40B4-BE49-F238E27FC236}">
              <a16:creationId xmlns:a16="http://schemas.microsoft.com/office/drawing/2014/main" id="{00000000-0008-0000-0300-00000E000000}"/>
            </a:ext>
          </a:extLst>
        </xdr:cNvPr>
        <xdr:cNvSpPr txBox="1"/>
      </xdr:nvSpPr>
      <xdr:spPr>
        <a:xfrm>
          <a:off x="1190625"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⑧</a:t>
          </a:r>
        </a:p>
      </xdr:txBody>
    </xdr:sp>
    <xdr:clientData/>
  </xdr:oneCellAnchor>
  <xdr:oneCellAnchor>
    <xdr:from>
      <xdr:col>0</xdr:col>
      <xdr:colOff>1533525</xdr:colOff>
      <xdr:row>45</xdr:row>
      <xdr:rowOff>85725</xdr:rowOff>
    </xdr:from>
    <xdr:ext cx="325730" cy="367408"/>
    <xdr:sp macro="" textlink="">
      <xdr:nvSpPr>
        <xdr:cNvPr id="15" name="テキスト ボックス 14">
          <a:extLst>
            <a:ext uri="{FF2B5EF4-FFF2-40B4-BE49-F238E27FC236}">
              <a16:creationId xmlns:a16="http://schemas.microsoft.com/office/drawing/2014/main" id="{00000000-0008-0000-0300-00000F000000}"/>
            </a:ext>
          </a:extLst>
        </xdr:cNvPr>
        <xdr:cNvSpPr txBox="1"/>
      </xdr:nvSpPr>
      <xdr:spPr>
        <a:xfrm>
          <a:off x="1533525"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⑨</a:t>
          </a:r>
        </a:p>
      </xdr:txBody>
    </xdr:sp>
    <xdr:clientData/>
  </xdr:oneCellAnchor>
  <xdr:oneCellAnchor>
    <xdr:from>
      <xdr:col>0</xdr:col>
      <xdr:colOff>1866900</xdr:colOff>
      <xdr:row>45</xdr:row>
      <xdr:rowOff>85725</xdr:rowOff>
    </xdr:from>
    <xdr:ext cx="325730" cy="367408"/>
    <xdr:sp macro="" textlink="">
      <xdr:nvSpPr>
        <xdr:cNvPr id="16" name="テキスト ボックス 15">
          <a:extLst>
            <a:ext uri="{FF2B5EF4-FFF2-40B4-BE49-F238E27FC236}">
              <a16:creationId xmlns:a16="http://schemas.microsoft.com/office/drawing/2014/main" id="{00000000-0008-0000-0300-000010000000}"/>
            </a:ext>
          </a:extLst>
        </xdr:cNvPr>
        <xdr:cNvSpPr txBox="1"/>
      </xdr:nvSpPr>
      <xdr:spPr>
        <a:xfrm>
          <a:off x="1866900"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⑩</a:t>
          </a:r>
        </a:p>
      </xdr:txBody>
    </xdr:sp>
    <xdr:clientData/>
  </xdr:oneCellAnchor>
  <xdr:oneCellAnchor>
    <xdr:from>
      <xdr:col>0</xdr:col>
      <xdr:colOff>2190750</xdr:colOff>
      <xdr:row>45</xdr:row>
      <xdr:rowOff>85725</xdr:rowOff>
    </xdr:from>
    <xdr:ext cx="325730" cy="367408"/>
    <xdr:sp macro="" textlink="">
      <xdr:nvSpPr>
        <xdr:cNvPr id="17" name="テキスト ボックス 16">
          <a:extLst>
            <a:ext uri="{FF2B5EF4-FFF2-40B4-BE49-F238E27FC236}">
              <a16:creationId xmlns:a16="http://schemas.microsoft.com/office/drawing/2014/main" id="{00000000-0008-0000-0300-000011000000}"/>
            </a:ext>
          </a:extLst>
        </xdr:cNvPr>
        <xdr:cNvSpPr txBox="1"/>
      </xdr:nvSpPr>
      <xdr:spPr>
        <a:xfrm>
          <a:off x="2190750"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⑪</a:t>
          </a:r>
        </a:p>
      </xdr:txBody>
    </xdr:sp>
    <xdr:clientData/>
  </xdr:oneCellAnchor>
  <xdr:oneCellAnchor>
    <xdr:from>
      <xdr:col>0</xdr:col>
      <xdr:colOff>2514600</xdr:colOff>
      <xdr:row>45</xdr:row>
      <xdr:rowOff>85725</xdr:rowOff>
    </xdr:from>
    <xdr:ext cx="325730" cy="367408"/>
    <xdr:sp macro="" textlink="">
      <xdr:nvSpPr>
        <xdr:cNvPr id="18" name="テキスト ボックス 17">
          <a:extLst>
            <a:ext uri="{FF2B5EF4-FFF2-40B4-BE49-F238E27FC236}">
              <a16:creationId xmlns:a16="http://schemas.microsoft.com/office/drawing/2014/main" id="{00000000-0008-0000-0300-000012000000}"/>
            </a:ext>
          </a:extLst>
        </xdr:cNvPr>
        <xdr:cNvSpPr txBox="1"/>
      </xdr:nvSpPr>
      <xdr:spPr>
        <a:xfrm>
          <a:off x="2514600"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⑫</a:t>
          </a:r>
        </a:p>
      </xdr:txBody>
    </xdr:sp>
    <xdr:clientData/>
  </xdr:oneCellAnchor>
  <xdr:oneCellAnchor>
    <xdr:from>
      <xdr:col>0</xdr:col>
      <xdr:colOff>2867025</xdr:colOff>
      <xdr:row>45</xdr:row>
      <xdr:rowOff>85725</xdr:rowOff>
    </xdr:from>
    <xdr:ext cx="325730" cy="367408"/>
    <xdr:sp macro="" textlink="">
      <xdr:nvSpPr>
        <xdr:cNvPr id="19" name="テキスト ボックス 18">
          <a:extLst>
            <a:ext uri="{FF2B5EF4-FFF2-40B4-BE49-F238E27FC236}">
              <a16:creationId xmlns:a16="http://schemas.microsoft.com/office/drawing/2014/main" id="{00000000-0008-0000-0300-000013000000}"/>
            </a:ext>
          </a:extLst>
        </xdr:cNvPr>
        <xdr:cNvSpPr txBox="1"/>
      </xdr:nvSpPr>
      <xdr:spPr>
        <a:xfrm>
          <a:off x="2867025"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⑬</a:t>
          </a:r>
        </a:p>
      </xdr:txBody>
    </xdr:sp>
    <xdr:clientData/>
  </xdr:oneCellAnchor>
  <xdr:oneCellAnchor>
    <xdr:from>
      <xdr:col>0</xdr:col>
      <xdr:colOff>3209925</xdr:colOff>
      <xdr:row>45</xdr:row>
      <xdr:rowOff>85725</xdr:rowOff>
    </xdr:from>
    <xdr:ext cx="325730" cy="367408"/>
    <xdr:sp macro="" textlink="">
      <xdr:nvSpPr>
        <xdr:cNvPr id="20" name="テキスト ボックス 19">
          <a:extLst>
            <a:ext uri="{FF2B5EF4-FFF2-40B4-BE49-F238E27FC236}">
              <a16:creationId xmlns:a16="http://schemas.microsoft.com/office/drawing/2014/main" id="{00000000-0008-0000-0300-000014000000}"/>
            </a:ext>
          </a:extLst>
        </xdr:cNvPr>
        <xdr:cNvSpPr txBox="1"/>
      </xdr:nvSpPr>
      <xdr:spPr>
        <a:xfrm>
          <a:off x="3209925"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⑭</a:t>
          </a:r>
        </a:p>
      </xdr:txBody>
    </xdr:sp>
    <xdr:clientData/>
  </xdr:oneCellAnchor>
  <xdr:oneCellAnchor>
    <xdr:from>
      <xdr:col>0</xdr:col>
      <xdr:colOff>3533775</xdr:colOff>
      <xdr:row>45</xdr:row>
      <xdr:rowOff>85725</xdr:rowOff>
    </xdr:from>
    <xdr:ext cx="325730" cy="367408"/>
    <xdr:sp macro="" textlink="">
      <xdr:nvSpPr>
        <xdr:cNvPr id="21" name="テキスト ボックス 20">
          <a:extLst>
            <a:ext uri="{FF2B5EF4-FFF2-40B4-BE49-F238E27FC236}">
              <a16:creationId xmlns:a16="http://schemas.microsoft.com/office/drawing/2014/main" id="{00000000-0008-0000-0300-000015000000}"/>
            </a:ext>
          </a:extLst>
        </xdr:cNvPr>
        <xdr:cNvSpPr txBox="1"/>
      </xdr:nvSpPr>
      <xdr:spPr>
        <a:xfrm>
          <a:off x="3533775"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⑮</a:t>
          </a:r>
        </a:p>
      </xdr:txBody>
    </xdr:sp>
    <xdr:clientData/>
  </xdr:oneCellAnchor>
  <xdr:oneCellAnchor>
    <xdr:from>
      <xdr:col>0</xdr:col>
      <xdr:colOff>3905250</xdr:colOff>
      <xdr:row>45</xdr:row>
      <xdr:rowOff>85725</xdr:rowOff>
    </xdr:from>
    <xdr:ext cx="325730" cy="367408"/>
    <xdr:sp macro="" textlink="">
      <xdr:nvSpPr>
        <xdr:cNvPr id="22" name="テキスト ボックス 21">
          <a:extLst>
            <a:ext uri="{FF2B5EF4-FFF2-40B4-BE49-F238E27FC236}">
              <a16:creationId xmlns:a16="http://schemas.microsoft.com/office/drawing/2014/main" id="{00000000-0008-0000-0300-000016000000}"/>
            </a:ext>
          </a:extLst>
        </xdr:cNvPr>
        <xdr:cNvSpPr txBox="1"/>
      </xdr:nvSpPr>
      <xdr:spPr>
        <a:xfrm>
          <a:off x="3905250"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⑯</a:t>
          </a:r>
        </a:p>
      </xdr:txBody>
    </xdr:sp>
    <xdr:clientData/>
  </xdr:oneCellAnchor>
  <xdr:oneCellAnchor>
    <xdr:from>
      <xdr:col>0</xdr:col>
      <xdr:colOff>4238625</xdr:colOff>
      <xdr:row>45</xdr:row>
      <xdr:rowOff>85725</xdr:rowOff>
    </xdr:from>
    <xdr:ext cx="325730" cy="367408"/>
    <xdr:sp macro="" textlink="">
      <xdr:nvSpPr>
        <xdr:cNvPr id="23" name="テキスト ボックス 22">
          <a:extLst>
            <a:ext uri="{FF2B5EF4-FFF2-40B4-BE49-F238E27FC236}">
              <a16:creationId xmlns:a16="http://schemas.microsoft.com/office/drawing/2014/main" id="{00000000-0008-0000-0300-000017000000}"/>
            </a:ext>
          </a:extLst>
        </xdr:cNvPr>
        <xdr:cNvSpPr txBox="1"/>
      </xdr:nvSpPr>
      <xdr:spPr>
        <a:xfrm>
          <a:off x="4238625"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⑰</a:t>
          </a:r>
        </a:p>
      </xdr:txBody>
    </xdr:sp>
    <xdr:clientData/>
  </xdr:oneCellAnchor>
  <xdr:oneCellAnchor>
    <xdr:from>
      <xdr:col>0</xdr:col>
      <xdr:colOff>4667250</xdr:colOff>
      <xdr:row>45</xdr:row>
      <xdr:rowOff>85725</xdr:rowOff>
    </xdr:from>
    <xdr:ext cx="325730" cy="367408"/>
    <xdr:sp macro="" textlink="">
      <xdr:nvSpPr>
        <xdr:cNvPr id="24" name="テキスト ボックス 23">
          <a:extLst>
            <a:ext uri="{FF2B5EF4-FFF2-40B4-BE49-F238E27FC236}">
              <a16:creationId xmlns:a16="http://schemas.microsoft.com/office/drawing/2014/main" id="{00000000-0008-0000-0300-000018000000}"/>
            </a:ext>
          </a:extLst>
        </xdr:cNvPr>
        <xdr:cNvSpPr txBox="1"/>
      </xdr:nvSpPr>
      <xdr:spPr>
        <a:xfrm>
          <a:off x="4667250"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⑱</a:t>
          </a:r>
        </a:p>
      </xdr:txBody>
    </xdr:sp>
    <xdr:clientData/>
  </xdr:oneCellAnchor>
  <xdr:oneCellAnchor>
    <xdr:from>
      <xdr:col>0</xdr:col>
      <xdr:colOff>5191125</xdr:colOff>
      <xdr:row>45</xdr:row>
      <xdr:rowOff>85725</xdr:rowOff>
    </xdr:from>
    <xdr:ext cx="325730" cy="367408"/>
    <xdr:sp macro="" textlink="">
      <xdr:nvSpPr>
        <xdr:cNvPr id="25" name="テキスト ボックス 24">
          <a:extLst>
            <a:ext uri="{FF2B5EF4-FFF2-40B4-BE49-F238E27FC236}">
              <a16:creationId xmlns:a16="http://schemas.microsoft.com/office/drawing/2014/main" id="{00000000-0008-0000-0300-000019000000}"/>
            </a:ext>
          </a:extLst>
        </xdr:cNvPr>
        <xdr:cNvSpPr txBox="1"/>
      </xdr:nvSpPr>
      <xdr:spPr>
        <a:xfrm>
          <a:off x="5191125" y="3276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⑲</a:t>
          </a:r>
        </a:p>
      </xdr:txBody>
    </xdr:sp>
    <xdr:clientData/>
  </xdr:oneCellAnchor>
  <xdr:twoCellAnchor editAs="oneCell">
    <xdr:from>
      <xdr:col>0</xdr:col>
      <xdr:colOff>28575</xdr:colOff>
      <xdr:row>82</xdr:row>
      <xdr:rowOff>104775</xdr:rowOff>
    </xdr:from>
    <xdr:to>
      <xdr:col>0</xdr:col>
      <xdr:colOff>3267527</xdr:colOff>
      <xdr:row>92</xdr:row>
      <xdr:rowOff>318</xdr:rowOff>
    </xdr:to>
    <xdr:pic>
      <xdr:nvPicPr>
        <xdr:cNvPr id="26" name="図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2"/>
        <a:stretch>
          <a:fillRect/>
        </a:stretch>
      </xdr:blipFill>
      <xdr:spPr>
        <a:xfrm>
          <a:off x="28575" y="10210800"/>
          <a:ext cx="3238952" cy="2276793"/>
        </a:xfrm>
        <a:prstGeom prst="rect">
          <a:avLst/>
        </a:prstGeom>
      </xdr:spPr>
    </xdr:pic>
    <xdr:clientData/>
  </xdr:twoCellAnchor>
  <xdr:twoCellAnchor editAs="oneCell">
    <xdr:from>
      <xdr:col>0</xdr:col>
      <xdr:colOff>428625</xdr:colOff>
      <xdr:row>121</xdr:row>
      <xdr:rowOff>180975</xdr:rowOff>
    </xdr:from>
    <xdr:to>
      <xdr:col>0</xdr:col>
      <xdr:colOff>6105525</xdr:colOff>
      <xdr:row>144</xdr:row>
      <xdr:rowOff>17205</xdr:rowOff>
    </xdr:to>
    <xdr:pic>
      <xdr:nvPicPr>
        <xdr:cNvPr id="3" name="図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19592925"/>
          <a:ext cx="5676900" cy="5313105"/>
        </a:xfrm>
        <a:prstGeom prst="rect">
          <a:avLst/>
        </a:prstGeom>
      </xdr:spPr>
    </xdr:pic>
    <xdr:clientData/>
  </xdr:twoCellAnchor>
  <xdr:oneCellAnchor>
    <xdr:from>
      <xdr:col>0</xdr:col>
      <xdr:colOff>1219200</xdr:colOff>
      <xdr:row>120</xdr:row>
      <xdr:rowOff>209550</xdr:rowOff>
    </xdr:from>
    <xdr:ext cx="325730" cy="367408"/>
    <xdr:sp macro="" textlink="">
      <xdr:nvSpPr>
        <xdr:cNvPr id="27" name="テキスト ボックス 26">
          <a:extLst>
            <a:ext uri="{FF2B5EF4-FFF2-40B4-BE49-F238E27FC236}">
              <a16:creationId xmlns:a16="http://schemas.microsoft.com/office/drawing/2014/main" id="{00000000-0008-0000-0300-00001B000000}"/>
            </a:ext>
          </a:extLst>
        </xdr:cNvPr>
        <xdr:cNvSpPr txBox="1"/>
      </xdr:nvSpPr>
      <xdr:spPr>
        <a:xfrm>
          <a:off x="1219200" y="193833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①</a:t>
          </a:r>
        </a:p>
      </xdr:txBody>
    </xdr:sp>
    <xdr:clientData/>
  </xdr:oneCellAnchor>
  <xdr:oneCellAnchor>
    <xdr:from>
      <xdr:col>0</xdr:col>
      <xdr:colOff>1924050</xdr:colOff>
      <xdr:row>120</xdr:row>
      <xdr:rowOff>209550</xdr:rowOff>
    </xdr:from>
    <xdr:ext cx="325730" cy="367408"/>
    <xdr:sp macro="" textlink="">
      <xdr:nvSpPr>
        <xdr:cNvPr id="28" name="テキスト ボックス 27">
          <a:extLst>
            <a:ext uri="{FF2B5EF4-FFF2-40B4-BE49-F238E27FC236}">
              <a16:creationId xmlns:a16="http://schemas.microsoft.com/office/drawing/2014/main" id="{00000000-0008-0000-0300-00001C000000}"/>
            </a:ext>
          </a:extLst>
        </xdr:cNvPr>
        <xdr:cNvSpPr txBox="1"/>
      </xdr:nvSpPr>
      <xdr:spPr>
        <a:xfrm>
          <a:off x="1924050" y="193833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②</a:t>
          </a:r>
        </a:p>
      </xdr:txBody>
    </xdr:sp>
    <xdr:clientData/>
  </xdr:oneCellAnchor>
  <xdr:oneCellAnchor>
    <xdr:from>
      <xdr:col>0</xdr:col>
      <xdr:colOff>2914650</xdr:colOff>
      <xdr:row>120</xdr:row>
      <xdr:rowOff>219075</xdr:rowOff>
    </xdr:from>
    <xdr:ext cx="325730" cy="367408"/>
    <xdr:sp macro="" textlink="">
      <xdr:nvSpPr>
        <xdr:cNvPr id="29" name="テキスト ボックス 28">
          <a:extLst>
            <a:ext uri="{FF2B5EF4-FFF2-40B4-BE49-F238E27FC236}">
              <a16:creationId xmlns:a16="http://schemas.microsoft.com/office/drawing/2014/main" id="{00000000-0008-0000-0300-00001D000000}"/>
            </a:ext>
          </a:extLst>
        </xdr:cNvPr>
        <xdr:cNvSpPr txBox="1"/>
      </xdr:nvSpPr>
      <xdr:spPr>
        <a:xfrm>
          <a:off x="2914650" y="193929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③</a:t>
          </a:r>
        </a:p>
      </xdr:txBody>
    </xdr:sp>
    <xdr:clientData/>
  </xdr:oneCellAnchor>
  <xdr:oneCellAnchor>
    <xdr:from>
      <xdr:col>0</xdr:col>
      <xdr:colOff>5657850</xdr:colOff>
      <xdr:row>121</xdr:row>
      <xdr:rowOff>76200</xdr:rowOff>
    </xdr:from>
    <xdr:ext cx="325730" cy="367408"/>
    <xdr:sp macro="" textlink="">
      <xdr:nvSpPr>
        <xdr:cNvPr id="30" name="テキスト ボックス 29">
          <a:extLst>
            <a:ext uri="{FF2B5EF4-FFF2-40B4-BE49-F238E27FC236}">
              <a16:creationId xmlns:a16="http://schemas.microsoft.com/office/drawing/2014/main" id="{00000000-0008-0000-0300-00001E000000}"/>
            </a:ext>
          </a:extLst>
        </xdr:cNvPr>
        <xdr:cNvSpPr txBox="1"/>
      </xdr:nvSpPr>
      <xdr:spPr>
        <a:xfrm>
          <a:off x="5657850" y="194881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④</a:t>
          </a:r>
        </a:p>
      </xdr:txBody>
    </xdr:sp>
    <xdr:clientData/>
  </xdr:oneCellAnchor>
  <xdr:oneCellAnchor>
    <xdr:from>
      <xdr:col>0</xdr:col>
      <xdr:colOff>638175</xdr:colOff>
      <xdr:row>122</xdr:row>
      <xdr:rowOff>142875</xdr:rowOff>
    </xdr:from>
    <xdr:ext cx="325730" cy="367408"/>
    <xdr:sp macro="" textlink="">
      <xdr:nvSpPr>
        <xdr:cNvPr id="37" name="テキスト ボックス 36">
          <a:extLst>
            <a:ext uri="{FF2B5EF4-FFF2-40B4-BE49-F238E27FC236}">
              <a16:creationId xmlns:a16="http://schemas.microsoft.com/office/drawing/2014/main" id="{00000000-0008-0000-0300-000025000000}"/>
            </a:ext>
          </a:extLst>
        </xdr:cNvPr>
        <xdr:cNvSpPr txBox="1"/>
      </xdr:nvSpPr>
      <xdr:spPr>
        <a:xfrm>
          <a:off x="638175" y="197929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⑤</a:t>
          </a:r>
        </a:p>
      </xdr:txBody>
    </xdr:sp>
    <xdr:clientData/>
  </xdr:oneCellAnchor>
  <xdr:oneCellAnchor>
    <xdr:from>
      <xdr:col>0</xdr:col>
      <xdr:colOff>638175</xdr:colOff>
      <xdr:row>123</xdr:row>
      <xdr:rowOff>57150</xdr:rowOff>
    </xdr:from>
    <xdr:ext cx="325730" cy="367408"/>
    <xdr:sp macro="" textlink="">
      <xdr:nvSpPr>
        <xdr:cNvPr id="39" name="テキスト ボックス 38">
          <a:extLst>
            <a:ext uri="{FF2B5EF4-FFF2-40B4-BE49-F238E27FC236}">
              <a16:creationId xmlns:a16="http://schemas.microsoft.com/office/drawing/2014/main" id="{00000000-0008-0000-0300-000027000000}"/>
            </a:ext>
          </a:extLst>
        </xdr:cNvPr>
        <xdr:cNvSpPr txBox="1"/>
      </xdr:nvSpPr>
      <xdr:spPr>
        <a:xfrm>
          <a:off x="638175" y="199453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⑥</a:t>
          </a:r>
        </a:p>
      </xdr:txBody>
    </xdr:sp>
    <xdr:clientData/>
  </xdr:oneCellAnchor>
  <xdr:oneCellAnchor>
    <xdr:from>
      <xdr:col>0</xdr:col>
      <xdr:colOff>638175</xdr:colOff>
      <xdr:row>123</xdr:row>
      <xdr:rowOff>209550</xdr:rowOff>
    </xdr:from>
    <xdr:ext cx="325730" cy="367408"/>
    <xdr:sp macro="" textlink="">
      <xdr:nvSpPr>
        <xdr:cNvPr id="40" name="テキスト ボックス 39">
          <a:extLst>
            <a:ext uri="{FF2B5EF4-FFF2-40B4-BE49-F238E27FC236}">
              <a16:creationId xmlns:a16="http://schemas.microsoft.com/office/drawing/2014/main" id="{00000000-0008-0000-0300-000028000000}"/>
            </a:ext>
          </a:extLst>
        </xdr:cNvPr>
        <xdr:cNvSpPr txBox="1"/>
      </xdr:nvSpPr>
      <xdr:spPr>
        <a:xfrm>
          <a:off x="638175" y="200977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⑦</a:t>
          </a:r>
        </a:p>
      </xdr:txBody>
    </xdr:sp>
    <xdr:clientData/>
  </xdr:oneCellAnchor>
  <xdr:oneCellAnchor>
    <xdr:from>
      <xdr:col>0</xdr:col>
      <xdr:colOff>3619500</xdr:colOff>
      <xdr:row>122</xdr:row>
      <xdr:rowOff>161925</xdr:rowOff>
    </xdr:from>
    <xdr:ext cx="325730" cy="367408"/>
    <xdr:sp macro="" textlink="">
      <xdr:nvSpPr>
        <xdr:cNvPr id="41" name="テキスト ボックス 40">
          <a:extLst>
            <a:ext uri="{FF2B5EF4-FFF2-40B4-BE49-F238E27FC236}">
              <a16:creationId xmlns:a16="http://schemas.microsoft.com/office/drawing/2014/main" id="{00000000-0008-0000-0300-000029000000}"/>
            </a:ext>
          </a:extLst>
        </xdr:cNvPr>
        <xdr:cNvSpPr txBox="1"/>
      </xdr:nvSpPr>
      <xdr:spPr>
        <a:xfrm>
          <a:off x="3619500" y="198120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⑧</a:t>
          </a:r>
        </a:p>
      </xdr:txBody>
    </xdr:sp>
    <xdr:clientData/>
  </xdr:oneCellAnchor>
  <xdr:oneCellAnchor>
    <xdr:from>
      <xdr:col>0</xdr:col>
      <xdr:colOff>3619500</xdr:colOff>
      <xdr:row>123</xdr:row>
      <xdr:rowOff>66675</xdr:rowOff>
    </xdr:from>
    <xdr:ext cx="325730" cy="367408"/>
    <xdr:sp macro="" textlink="">
      <xdr:nvSpPr>
        <xdr:cNvPr id="42" name="テキスト ボックス 41">
          <a:extLst>
            <a:ext uri="{FF2B5EF4-FFF2-40B4-BE49-F238E27FC236}">
              <a16:creationId xmlns:a16="http://schemas.microsoft.com/office/drawing/2014/main" id="{00000000-0008-0000-0300-00002A000000}"/>
            </a:ext>
          </a:extLst>
        </xdr:cNvPr>
        <xdr:cNvSpPr txBox="1"/>
      </xdr:nvSpPr>
      <xdr:spPr>
        <a:xfrm>
          <a:off x="3619500" y="199548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⑨</a:t>
          </a:r>
        </a:p>
      </xdr:txBody>
    </xdr:sp>
    <xdr:clientData/>
  </xdr:oneCellAnchor>
  <xdr:oneCellAnchor>
    <xdr:from>
      <xdr:col>0</xdr:col>
      <xdr:colOff>3619500</xdr:colOff>
      <xdr:row>123</xdr:row>
      <xdr:rowOff>209550</xdr:rowOff>
    </xdr:from>
    <xdr:ext cx="325730" cy="367408"/>
    <xdr:sp macro="" textlink="">
      <xdr:nvSpPr>
        <xdr:cNvPr id="43" name="テキスト ボックス 42">
          <a:extLst>
            <a:ext uri="{FF2B5EF4-FFF2-40B4-BE49-F238E27FC236}">
              <a16:creationId xmlns:a16="http://schemas.microsoft.com/office/drawing/2014/main" id="{00000000-0008-0000-0300-00002B000000}"/>
            </a:ext>
          </a:extLst>
        </xdr:cNvPr>
        <xdr:cNvSpPr txBox="1"/>
      </xdr:nvSpPr>
      <xdr:spPr>
        <a:xfrm>
          <a:off x="3619500" y="200977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⑩</a:t>
          </a:r>
        </a:p>
      </xdr:txBody>
    </xdr:sp>
    <xdr:clientData/>
  </xdr:oneCellAnchor>
  <xdr:oneCellAnchor>
    <xdr:from>
      <xdr:col>0</xdr:col>
      <xdr:colOff>4562475</xdr:colOff>
      <xdr:row>122</xdr:row>
      <xdr:rowOff>152400</xdr:rowOff>
    </xdr:from>
    <xdr:ext cx="325730" cy="367408"/>
    <xdr:sp macro="" textlink="">
      <xdr:nvSpPr>
        <xdr:cNvPr id="44" name="テキスト ボックス 43">
          <a:extLst>
            <a:ext uri="{FF2B5EF4-FFF2-40B4-BE49-F238E27FC236}">
              <a16:creationId xmlns:a16="http://schemas.microsoft.com/office/drawing/2014/main" id="{00000000-0008-0000-0300-00002C000000}"/>
            </a:ext>
          </a:extLst>
        </xdr:cNvPr>
        <xdr:cNvSpPr txBox="1"/>
      </xdr:nvSpPr>
      <xdr:spPr>
        <a:xfrm>
          <a:off x="4562475" y="198024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⑪</a:t>
          </a:r>
        </a:p>
      </xdr:txBody>
    </xdr:sp>
    <xdr:clientData/>
  </xdr:oneCellAnchor>
  <xdr:oneCellAnchor>
    <xdr:from>
      <xdr:col>0</xdr:col>
      <xdr:colOff>4562475</xdr:colOff>
      <xdr:row>123</xdr:row>
      <xdr:rowOff>57150</xdr:rowOff>
    </xdr:from>
    <xdr:ext cx="325730" cy="367408"/>
    <xdr:sp macro="" textlink="">
      <xdr:nvSpPr>
        <xdr:cNvPr id="45" name="テキスト ボックス 44">
          <a:extLst>
            <a:ext uri="{FF2B5EF4-FFF2-40B4-BE49-F238E27FC236}">
              <a16:creationId xmlns:a16="http://schemas.microsoft.com/office/drawing/2014/main" id="{00000000-0008-0000-0300-00002D000000}"/>
            </a:ext>
          </a:extLst>
        </xdr:cNvPr>
        <xdr:cNvSpPr txBox="1"/>
      </xdr:nvSpPr>
      <xdr:spPr>
        <a:xfrm>
          <a:off x="4562475" y="199453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⑫</a:t>
          </a:r>
        </a:p>
      </xdr:txBody>
    </xdr:sp>
    <xdr:clientData/>
  </xdr:oneCellAnchor>
  <xdr:oneCellAnchor>
    <xdr:from>
      <xdr:col>0</xdr:col>
      <xdr:colOff>4562475</xdr:colOff>
      <xdr:row>123</xdr:row>
      <xdr:rowOff>200025</xdr:rowOff>
    </xdr:from>
    <xdr:ext cx="325730" cy="367408"/>
    <xdr:sp macro="" textlink="">
      <xdr:nvSpPr>
        <xdr:cNvPr id="46" name="テキスト ボックス 45">
          <a:extLst>
            <a:ext uri="{FF2B5EF4-FFF2-40B4-BE49-F238E27FC236}">
              <a16:creationId xmlns:a16="http://schemas.microsoft.com/office/drawing/2014/main" id="{00000000-0008-0000-0300-00002E000000}"/>
            </a:ext>
          </a:extLst>
        </xdr:cNvPr>
        <xdr:cNvSpPr txBox="1"/>
      </xdr:nvSpPr>
      <xdr:spPr>
        <a:xfrm>
          <a:off x="4562475" y="2008822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⑬</a:t>
          </a:r>
        </a:p>
      </xdr:txBody>
    </xdr:sp>
    <xdr:clientData/>
  </xdr:oneCellAnchor>
  <xdr:oneCellAnchor>
    <xdr:from>
      <xdr:col>0</xdr:col>
      <xdr:colOff>904875</xdr:colOff>
      <xdr:row>124</xdr:row>
      <xdr:rowOff>142875</xdr:rowOff>
    </xdr:from>
    <xdr:ext cx="325730" cy="367408"/>
    <xdr:sp macro="" textlink="">
      <xdr:nvSpPr>
        <xdr:cNvPr id="47" name="テキスト ボックス 46">
          <a:extLst>
            <a:ext uri="{FF2B5EF4-FFF2-40B4-BE49-F238E27FC236}">
              <a16:creationId xmlns:a16="http://schemas.microsoft.com/office/drawing/2014/main" id="{00000000-0008-0000-0300-00002F000000}"/>
            </a:ext>
          </a:extLst>
        </xdr:cNvPr>
        <xdr:cNvSpPr txBox="1"/>
      </xdr:nvSpPr>
      <xdr:spPr>
        <a:xfrm>
          <a:off x="904875" y="202692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⑭</a:t>
          </a:r>
        </a:p>
      </xdr:txBody>
    </xdr:sp>
    <xdr:clientData/>
  </xdr:oneCellAnchor>
  <xdr:oneCellAnchor>
    <xdr:from>
      <xdr:col>0</xdr:col>
      <xdr:colOff>904875</xdr:colOff>
      <xdr:row>125</xdr:row>
      <xdr:rowOff>47625</xdr:rowOff>
    </xdr:from>
    <xdr:ext cx="325730" cy="367408"/>
    <xdr:sp macro="" textlink="">
      <xdr:nvSpPr>
        <xdr:cNvPr id="48" name="テキスト ボックス 47">
          <a:extLst>
            <a:ext uri="{FF2B5EF4-FFF2-40B4-BE49-F238E27FC236}">
              <a16:creationId xmlns:a16="http://schemas.microsoft.com/office/drawing/2014/main" id="{00000000-0008-0000-0300-000030000000}"/>
            </a:ext>
          </a:extLst>
        </xdr:cNvPr>
        <xdr:cNvSpPr txBox="1"/>
      </xdr:nvSpPr>
      <xdr:spPr>
        <a:xfrm>
          <a:off x="904875" y="204120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⑮</a:t>
          </a:r>
        </a:p>
      </xdr:txBody>
    </xdr:sp>
    <xdr:clientData/>
  </xdr:oneCellAnchor>
  <xdr:oneCellAnchor>
    <xdr:from>
      <xdr:col>0</xdr:col>
      <xdr:colOff>904875</xdr:colOff>
      <xdr:row>125</xdr:row>
      <xdr:rowOff>190500</xdr:rowOff>
    </xdr:from>
    <xdr:ext cx="325730" cy="367408"/>
    <xdr:sp macro="" textlink="">
      <xdr:nvSpPr>
        <xdr:cNvPr id="49" name="テキスト ボックス 48">
          <a:extLst>
            <a:ext uri="{FF2B5EF4-FFF2-40B4-BE49-F238E27FC236}">
              <a16:creationId xmlns:a16="http://schemas.microsoft.com/office/drawing/2014/main" id="{00000000-0008-0000-0300-000031000000}"/>
            </a:ext>
          </a:extLst>
        </xdr:cNvPr>
        <xdr:cNvSpPr txBox="1"/>
      </xdr:nvSpPr>
      <xdr:spPr>
        <a:xfrm>
          <a:off x="904875" y="205549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⑯</a:t>
          </a:r>
        </a:p>
      </xdr:txBody>
    </xdr:sp>
    <xdr:clientData/>
  </xdr:oneCellAnchor>
  <xdr:oneCellAnchor>
    <xdr:from>
      <xdr:col>0</xdr:col>
      <xdr:colOff>2143125</xdr:colOff>
      <xdr:row>126</xdr:row>
      <xdr:rowOff>114300</xdr:rowOff>
    </xdr:from>
    <xdr:ext cx="325730" cy="367408"/>
    <xdr:sp macro="" textlink="">
      <xdr:nvSpPr>
        <xdr:cNvPr id="50" name="テキスト ボックス 49">
          <a:extLst>
            <a:ext uri="{FF2B5EF4-FFF2-40B4-BE49-F238E27FC236}">
              <a16:creationId xmlns:a16="http://schemas.microsoft.com/office/drawing/2014/main" id="{00000000-0008-0000-0300-000032000000}"/>
            </a:ext>
          </a:extLst>
        </xdr:cNvPr>
        <xdr:cNvSpPr txBox="1"/>
      </xdr:nvSpPr>
      <xdr:spPr>
        <a:xfrm>
          <a:off x="2143125" y="207168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⑰</a:t>
          </a:r>
        </a:p>
      </xdr:txBody>
    </xdr:sp>
    <xdr:clientData/>
  </xdr:oneCellAnchor>
  <xdr:oneCellAnchor>
    <xdr:from>
      <xdr:col>0</xdr:col>
      <xdr:colOff>676275</xdr:colOff>
      <xdr:row>127</xdr:row>
      <xdr:rowOff>38100</xdr:rowOff>
    </xdr:from>
    <xdr:ext cx="325730" cy="367408"/>
    <xdr:sp macro="" textlink="">
      <xdr:nvSpPr>
        <xdr:cNvPr id="51" name="テキスト ボックス 50">
          <a:extLst>
            <a:ext uri="{FF2B5EF4-FFF2-40B4-BE49-F238E27FC236}">
              <a16:creationId xmlns:a16="http://schemas.microsoft.com/office/drawing/2014/main" id="{00000000-0008-0000-0300-000033000000}"/>
            </a:ext>
          </a:extLst>
        </xdr:cNvPr>
        <xdr:cNvSpPr txBox="1"/>
      </xdr:nvSpPr>
      <xdr:spPr>
        <a:xfrm>
          <a:off x="676275" y="208788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⑱</a:t>
          </a:r>
        </a:p>
      </xdr:txBody>
    </xdr:sp>
    <xdr:clientData/>
  </xdr:oneCellAnchor>
  <xdr:oneCellAnchor>
    <xdr:from>
      <xdr:col>0</xdr:col>
      <xdr:colOff>676275</xdr:colOff>
      <xdr:row>127</xdr:row>
      <xdr:rowOff>190500</xdr:rowOff>
    </xdr:from>
    <xdr:ext cx="325730" cy="367408"/>
    <xdr:sp macro="" textlink="">
      <xdr:nvSpPr>
        <xdr:cNvPr id="52" name="テキスト ボックス 51">
          <a:extLst>
            <a:ext uri="{FF2B5EF4-FFF2-40B4-BE49-F238E27FC236}">
              <a16:creationId xmlns:a16="http://schemas.microsoft.com/office/drawing/2014/main" id="{00000000-0008-0000-0300-000034000000}"/>
            </a:ext>
          </a:extLst>
        </xdr:cNvPr>
        <xdr:cNvSpPr txBox="1"/>
      </xdr:nvSpPr>
      <xdr:spPr>
        <a:xfrm>
          <a:off x="676275" y="210312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⑲</a:t>
          </a:r>
        </a:p>
      </xdr:txBody>
    </xdr:sp>
    <xdr:clientData/>
  </xdr:oneCellAnchor>
  <xdr:oneCellAnchor>
    <xdr:from>
      <xdr:col>0</xdr:col>
      <xdr:colOff>676275</xdr:colOff>
      <xdr:row>128</xdr:row>
      <xdr:rowOff>104775</xdr:rowOff>
    </xdr:from>
    <xdr:ext cx="325730" cy="367408"/>
    <xdr:sp macro="" textlink="">
      <xdr:nvSpPr>
        <xdr:cNvPr id="53" name="テキスト ボックス 52">
          <a:extLst>
            <a:ext uri="{FF2B5EF4-FFF2-40B4-BE49-F238E27FC236}">
              <a16:creationId xmlns:a16="http://schemas.microsoft.com/office/drawing/2014/main" id="{00000000-0008-0000-0300-000035000000}"/>
            </a:ext>
          </a:extLst>
        </xdr:cNvPr>
        <xdr:cNvSpPr txBox="1"/>
      </xdr:nvSpPr>
      <xdr:spPr>
        <a:xfrm>
          <a:off x="676275" y="211836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⑳</a:t>
          </a:r>
        </a:p>
      </xdr:txBody>
    </xdr:sp>
    <xdr:clientData/>
  </xdr:oneCellAnchor>
  <xdr:oneCellAnchor>
    <xdr:from>
      <xdr:col>0</xdr:col>
      <xdr:colOff>638175</xdr:colOff>
      <xdr:row>133</xdr:row>
      <xdr:rowOff>161925</xdr:rowOff>
    </xdr:from>
    <xdr:ext cx="325730" cy="367408"/>
    <xdr:sp macro="" textlink="">
      <xdr:nvSpPr>
        <xdr:cNvPr id="54" name="テキスト ボックス 53">
          <a:extLst>
            <a:ext uri="{FF2B5EF4-FFF2-40B4-BE49-F238E27FC236}">
              <a16:creationId xmlns:a16="http://schemas.microsoft.com/office/drawing/2014/main" id="{00000000-0008-0000-0300-000036000000}"/>
            </a:ext>
          </a:extLst>
        </xdr:cNvPr>
        <xdr:cNvSpPr txBox="1"/>
      </xdr:nvSpPr>
      <xdr:spPr>
        <a:xfrm>
          <a:off x="638175" y="224313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㉑</a:t>
          </a:r>
        </a:p>
      </xdr:txBody>
    </xdr:sp>
    <xdr:clientData/>
  </xdr:oneCellAnchor>
  <xdr:oneCellAnchor>
    <xdr:from>
      <xdr:col>0</xdr:col>
      <xdr:colOff>638175</xdr:colOff>
      <xdr:row>140</xdr:row>
      <xdr:rowOff>180975</xdr:rowOff>
    </xdr:from>
    <xdr:ext cx="325730" cy="367408"/>
    <xdr:sp macro="" textlink="">
      <xdr:nvSpPr>
        <xdr:cNvPr id="55" name="テキスト ボックス 54">
          <a:extLst>
            <a:ext uri="{FF2B5EF4-FFF2-40B4-BE49-F238E27FC236}">
              <a16:creationId xmlns:a16="http://schemas.microsoft.com/office/drawing/2014/main" id="{00000000-0008-0000-0300-000037000000}"/>
            </a:ext>
          </a:extLst>
        </xdr:cNvPr>
        <xdr:cNvSpPr txBox="1"/>
      </xdr:nvSpPr>
      <xdr:spPr>
        <a:xfrm>
          <a:off x="638175" y="241173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㉒</a:t>
          </a:r>
        </a:p>
      </xdr:txBody>
    </xdr:sp>
    <xdr:clientData/>
  </xdr:oneCellAnchor>
  <xdr:twoCellAnchor editAs="oneCell">
    <xdr:from>
      <xdr:col>0</xdr:col>
      <xdr:colOff>1114425</xdr:colOff>
      <xdr:row>212</xdr:row>
      <xdr:rowOff>19050</xdr:rowOff>
    </xdr:from>
    <xdr:to>
      <xdr:col>0</xdr:col>
      <xdr:colOff>4791075</xdr:colOff>
      <xdr:row>230</xdr:row>
      <xdr:rowOff>222340</xdr:rowOff>
    </xdr:to>
    <xdr:pic>
      <xdr:nvPicPr>
        <xdr:cNvPr id="31" name="図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4"/>
        <a:stretch>
          <a:fillRect/>
        </a:stretch>
      </xdr:blipFill>
      <xdr:spPr>
        <a:xfrm>
          <a:off x="1114425" y="50682525"/>
          <a:ext cx="3676650" cy="4489540"/>
        </a:xfrm>
        <a:prstGeom prst="rect">
          <a:avLst/>
        </a:prstGeom>
      </xdr:spPr>
    </xdr:pic>
    <xdr:clientData/>
  </xdr:twoCellAnchor>
  <xdr:oneCellAnchor>
    <xdr:from>
      <xdr:col>0</xdr:col>
      <xdr:colOff>1600200</xdr:colOff>
      <xdr:row>211</xdr:row>
      <xdr:rowOff>0</xdr:rowOff>
    </xdr:from>
    <xdr:ext cx="325730" cy="367408"/>
    <xdr:sp macro="" textlink="">
      <xdr:nvSpPr>
        <xdr:cNvPr id="56" name="テキスト ボックス 55">
          <a:extLst>
            <a:ext uri="{FF2B5EF4-FFF2-40B4-BE49-F238E27FC236}">
              <a16:creationId xmlns:a16="http://schemas.microsoft.com/office/drawing/2014/main" id="{00000000-0008-0000-0300-000038000000}"/>
            </a:ext>
          </a:extLst>
        </xdr:cNvPr>
        <xdr:cNvSpPr txBox="1"/>
      </xdr:nvSpPr>
      <xdr:spPr>
        <a:xfrm>
          <a:off x="1600200" y="504253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①</a:t>
          </a:r>
        </a:p>
      </xdr:txBody>
    </xdr:sp>
    <xdr:clientData/>
  </xdr:oneCellAnchor>
  <xdr:oneCellAnchor>
    <xdr:from>
      <xdr:col>0</xdr:col>
      <xdr:colOff>2209800</xdr:colOff>
      <xdr:row>211</xdr:row>
      <xdr:rowOff>0</xdr:rowOff>
    </xdr:from>
    <xdr:ext cx="325730" cy="367408"/>
    <xdr:sp macro="" textlink="">
      <xdr:nvSpPr>
        <xdr:cNvPr id="57" name="テキスト ボックス 56">
          <a:extLst>
            <a:ext uri="{FF2B5EF4-FFF2-40B4-BE49-F238E27FC236}">
              <a16:creationId xmlns:a16="http://schemas.microsoft.com/office/drawing/2014/main" id="{00000000-0008-0000-0300-000039000000}"/>
            </a:ext>
          </a:extLst>
        </xdr:cNvPr>
        <xdr:cNvSpPr txBox="1"/>
      </xdr:nvSpPr>
      <xdr:spPr>
        <a:xfrm>
          <a:off x="2209800" y="504253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②</a:t>
          </a:r>
        </a:p>
      </xdr:txBody>
    </xdr:sp>
    <xdr:clientData/>
  </xdr:oneCellAnchor>
  <xdr:oneCellAnchor>
    <xdr:from>
      <xdr:col>0</xdr:col>
      <xdr:colOff>3095625</xdr:colOff>
      <xdr:row>211</xdr:row>
      <xdr:rowOff>28575</xdr:rowOff>
    </xdr:from>
    <xdr:ext cx="325730" cy="367408"/>
    <xdr:sp macro="" textlink="">
      <xdr:nvSpPr>
        <xdr:cNvPr id="58" name="テキスト ボックス 57">
          <a:extLst>
            <a:ext uri="{FF2B5EF4-FFF2-40B4-BE49-F238E27FC236}">
              <a16:creationId xmlns:a16="http://schemas.microsoft.com/office/drawing/2014/main" id="{00000000-0008-0000-0300-00003A000000}"/>
            </a:ext>
          </a:extLst>
        </xdr:cNvPr>
        <xdr:cNvSpPr txBox="1"/>
      </xdr:nvSpPr>
      <xdr:spPr>
        <a:xfrm>
          <a:off x="3095625" y="5045392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③</a:t>
          </a:r>
        </a:p>
      </xdr:txBody>
    </xdr:sp>
    <xdr:clientData/>
  </xdr:oneCellAnchor>
  <xdr:oneCellAnchor>
    <xdr:from>
      <xdr:col>0</xdr:col>
      <xdr:colOff>3771900</xdr:colOff>
      <xdr:row>211</xdr:row>
      <xdr:rowOff>38100</xdr:rowOff>
    </xdr:from>
    <xdr:ext cx="325730" cy="367408"/>
    <xdr:sp macro="" textlink="">
      <xdr:nvSpPr>
        <xdr:cNvPr id="59" name="テキスト ボックス 58">
          <a:extLst>
            <a:ext uri="{FF2B5EF4-FFF2-40B4-BE49-F238E27FC236}">
              <a16:creationId xmlns:a16="http://schemas.microsoft.com/office/drawing/2014/main" id="{00000000-0008-0000-0300-00003B000000}"/>
            </a:ext>
          </a:extLst>
        </xdr:cNvPr>
        <xdr:cNvSpPr txBox="1"/>
      </xdr:nvSpPr>
      <xdr:spPr>
        <a:xfrm>
          <a:off x="3771900" y="5046345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④</a:t>
          </a:r>
        </a:p>
      </xdr:txBody>
    </xdr:sp>
    <xdr:clientData/>
  </xdr:oneCellAnchor>
  <xdr:oneCellAnchor>
    <xdr:from>
      <xdr:col>0</xdr:col>
      <xdr:colOff>4410075</xdr:colOff>
      <xdr:row>211</xdr:row>
      <xdr:rowOff>47625</xdr:rowOff>
    </xdr:from>
    <xdr:ext cx="325730" cy="367408"/>
    <xdr:sp macro="" textlink="">
      <xdr:nvSpPr>
        <xdr:cNvPr id="60" name="テキスト ボックス 59">
          <a:extLst>
            <a:ext uri="{FF2B5EF4-FFF2-40B4-BE49-F238E27FC236}">
              <a16:creationId xmlns:a16="http://schemas.microsoft.com/office/drawing/2014/main" id="{00000000-0008-0000-0300-00003C000000}"/>
            </a:ext>
          </a:extLst>
        </xdr:cNvPr>
        <xdr:cNvSpPr txBox="1"/>
      </xdr:nvSpPr>
      <xdr:spPr>
        <a:xfrm>
          <a:off x="4410075" y="504729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⑤</a:t>
          </a:r>
        </a:p>
      </xdr:txBody>
    </xdr:sp>
    <xdr:clientData/>
  </xdr:oneCellAnchor>
  <xdr:oneCellAnchor>
    <xdr:from>
      <xdr:col>0</xdr:col>
      <xdr:colOff>3314700</xdr:colOff>
      <xdr:row>213</xdr:row>
      <xdr:rowOff>123825</xdr:rowOff>
    </xdr:from>
    <xdr:ext cx="325730" cy="367408"/>
    <xdr:sp macro="" textlink="">
      <xdr:nvSpPr>
        <xdr:cNvPr id="61" name="テキスト ボックス 60">
          <a:extLst>
            <a:ext uri="{FF2B5EF4-FFF2-40B4-BE49-F238E27FC236}">
              <a16:creationId xmlns:a16="http://schemas.microsoft.com/office/drawing/2014/main" id="{00000000-0008-0000-0300-00003D000000}"/>
            </a:ext>
          </a:extLst>
        </xdr:cNvPr>
        <xdr:cNvSpPr txBox="1"/>
      </xdr:nvSpPr>
      <xdr:spPr>
        <a:xfrm>
          <a:off x="3314700" y="5102542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⑦</a:t>
          </a:r>
        </a:p>
      </xdr:txBody>
    </xdr:sp>
    <xdr:clientData/>
  </xdr:oneCellAnchor>
  <xdr:oneCellAnchor>
    <xdr:from>
      <xdr:col>0</xdr:col>
      <xdr:colOff>1819275</xdr:colOff>
      <xdr:row>213</xdr:row>
      <xdr:rowOff>104775</xdr:rowOff>
    </xdr:from>
    <xdr:ext cx="325730" cy="367408"/>
    <xdr:sp macro="" textlink="">
      <xdr:nvSpPr>
        <xdr:cNvPr id="62" name="テキスト ボックス 61">
          <a:extLst>
            <a:ext uri="{FF2B5EF4-FFF2-40B4-BE49-F238E27FC236}">
              <a16:creationId xmlns:a16="http://schemas.microsoft.com/office/drawing/2014/main" id="{00000000-0008-0000-0300-00003E000000}"/>
            </a:ext>
          </a:extLst>
        </xdr:cNvPr>
        <xdr:cNvSpPr txBox="1"/>
      </xdr:nvSpPr>
      <xdr:spPr>
        <a:xfrm>
          <a:off x="1819275" y="5100637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⑥</a:t>
          </a:r>
        </a:p>
      </xdr:txBody>
    </xdr:sp>
    <xdr:clientData/>
  </xdr:oneCellAnchor>
  <xdr:oneCellAnchor>
    <xdr:from>
      <xdr:col>0</xdr:col>
      <xdr:colOff>1552575</xdr:colOff>
      <xdr:row>215</xdr:row>
      <xdr:rowOff>66675</xdr:rowOff>
    </xdr:from>
    <xdr:ext cx="325730" cy="367408"/>
    <xdr:sp macro="" textlink="">
      <xdr:nvSpPr>
        <xdr:cNvPr id="63" name="テキスト ボックス 62">
          <a:extLst>
            <a:ext uri="{FF2B5EF4-FFF2-40B4-BE49-F238E27FC236}">
              <a16:creationId xmlns:a16="http://schemas.microsoft.com/office/drawing/2014/main" id="{00000000-0008-0000-0300-00003F000000}"/>
            </a:ext>
          </a:extLst>
        </xdr:cNvPr>
        <xdr:cNvSpPr txBox="1"/>
      </xdr:nvSpPr>
      <xdr:spPr>
        <a:xfrm>
          <a:off x="1552575" y="51444525"/>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⑧</a:t>
          </a:r>
        </a:p>
      </xdr:txBody>
    </xdr:sp>
    <xdr:clientData/>
  </xdr:oneCellAnchor>
  <xdr:oneCellAnchor>
    <xdr:from>
      <xdr:col>0</xdr:col>
      <xdr:colOff>1133475</xdr:colOff>
      <xdr:row>217</xdr:row>
      <xdr:rowOff>152400</xdr:rowOff>
    </xdr:from>
    <xdr:ext cx="325730" cy="367408"/>
    <xdr:sp macro="" textlink="">
      <xdr:nvSpPr>
        <xdr:cNvPr id="64" name="テキスト ボックス 63">
          <a:extLst>
            <a:ext uri="{FF2B5EF4-FFF2-40B4-BE49-F238E27FC236}">
              <a16:creationId xmlns:a16="http://schemas.microsoft.com/office/drawing/2014/main" id="{00000000-0008-0000-0300-000040000000}"/>
            </a:ext>
          </a:extLst>
        </xdr:cNvPr>
        <xdr:cNvSpPr txBox="1"/>
      </xdr:nvSpPr>
      <xdr:spPr>
        <a:xfrm>
          <a:off x="1133475" y="520065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⑨</a:t>
          </a:r>
        </a:p>
      </xdr:txBody>
    </xdr:sp>
    <xdr:clientData/>
  </xdr:oneCellAnchor>
  <xdr:oneCellAnchor>
    <xdr:from>
      <xdr:col>0</xdr:col>
      <xdr:colOff>2476500</xdr:colOff>
      <xdr:row>228</xdr:row>
      <xdr:rowOff>123825</xdr:rowOff>
    </xdr:from>
    <xdr:ext cx="325730" cy="367408"/>
    <xdr:sp macro="" textlink="">
      <xdr:nvSpPr>
        <xdr:cNvPr id="65" name="テキスト ボックス 64">
          <a:extLst>
            <a:ext uri="{FF2B5EF4-FFF2-40B4-BE49-F238E27FC236}">
              <a16:creationId xmlns:a16="http://schemas.microsoft.com/office/drawing/2014/main" id="{00000000-0008-0000-0300-000041000000}"/>
            </a:ext>
          </a:extLst>
        </xdr:cNvPr>
        <xdr:cNvSpPr txBox="1"/>
      </xdr:nvSpPr>
      <xdr:spPr>
        <a:xfrm>
          <a:off x="2476500" y="54597300"/>
          <a:ext cx="325730" cy="367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⑩</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EE9459-FAD2-4CA4-B26F-724A3586C336}" name="配信リスト" displayName="配信リスト" ref="A3:P7" totalsRowShown="0" headerRowDxfId="5" headerRowBorderDxfId="4" tableBorderDxfId="3">
  <autoFilter ref="A3:P7" xr:uid="{6BDC769C-D5CF-4699-848E-9DCCC0B3A93B}"/>
  <sortState xmlns:xlrd2="http://schemas.microsoft.com/office/spreadsheetml/2017/richdata2" ref="A4:P7">
    <sortCondition ref="B3:B7"/>
  </sortState>
  <tableColumns count="16">
    <tableColumn id="1" xr3:uid="{36AA9A59-3DBA-4393-8574-B0AC21573157}" name="配信"/>
    <tableColumn id="13" xr3:uid="{F62E1ACE-46E9-4E38-B0D4-610E400D109C}" name="No."/>
    <tableColumn id="2" xr3:uid="{755510BA-770D-4B43-92CE-6E545EF3FD64}" name="会社種別"/>
    <tableColumn id="3" xr3:uid="{E8FE7404-BBBE-4F87-9AE8-817626A1086B}" name="種別前後"/>
    <tableColumn id="4" xr3:uid="{FED1DA21-E045-426A-B08A-0982F3BEF2E7}" name="会社名"/>
    <tableColumn id="5" xr3:uid="{17E2DA56-78FA-4E8D-BC37-FCD5DFDCDA99}" name="部署"/>
    <tableColumn id="6" xr3:uid="{39AF8E27-4D86-469D-9D21-43ED0FEC523D}" name="役職"/>
    <tableColumn id="7" xr3:uid="{B8960BA0-B515-45A7-B2B4-25D335AFCB94}" name="氏名"/>
    <tableColumn id="8" xr3:uid="{2EFB1AE9-9B75-43C3-A630-545991F3AA1C}" name="TEL"/>
    <tableColumn id="9" xr3:uid="{2973F855-D122-4847-B635-103117836047}" name="FAX"/>
    <tableColumn id="10" xr3:uid="{BF730B29-FAF4-4361-95F1-0B3C5F1B57B9}" name="MAIL"/>
    <tableColumn id="11" xr3:uid="{57DC69EF-7DDB-4249-BA14-7EDD35F482AE}" name="郵便番号"/>
    <tableColumn id="12" xr3:uid="{62BA34F8-701F-471F-86E3-C20C14097166}" name="住所"/>
    <tableColumn id="14" xr3:uid="{1996483E-CBD1-43BF-85E7-492CB8458A2D}" name="配信種別"/>
    <tableColumn id="15" xr3:uid="{788395DF-AA5E-4A14-BC59-45B762685289}" name="会社名2" dataDxfId="2">
      <calculatedColumnFormula>IF(配信リスト[[#This Row],[種別前後]] = "前",配信リスト[[#This Row],[会社種別]]&amp;配信リスト[[#This Row],[会社名]],配信リスト[[#This Row],[会社名]]&amp;配信リスト[[#This Row],[会社種別]])</calculatedColumnFormula>
    </tableColumn>
    <tableColumn id="16" xr3:uid="{6BD567E3-3E8E-4E60-A98F-5378C0B239BD}" name="役職と氏名" dataDxfId="1">
      <calculatedColumnFormula>IF(配信リスト[[#This Row],[氏名]]="","",IF(配信リスト[[#This Row],[役職]]="",配信リスト[[#This Row],[氏名]],配信リスト[[#This Row],[役職]]&amp;"  " &amp;配信リスト[[#This Row],[氏名]]))</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3F7849-266A-45A8-A0BC-A4A8C429E438}" name="入力リスト" displayName="入力リスト" ref="R3:U10" totalsRowShown="0" headerRowDxfId="0">
  <autoFilter ref="R3:U10" xr:uid="{BF606A75-997B-463D-9086-C895989DF03C}"/>
  <tableColumns count="4">
    <tableColumn id="1" xr3:uid="{409E6B45-D984-4147-8458-F22275C6C260}" name="会社種別"/>
    <tableColumn id="2" xr3:uid="{78F002D2-B88B-4367-901A-2B780DC607AE}" name="種別前後"/>
    <tableColumn id="3" xr3:uid="{7BB88C00-D042-4E69-888A-12A8D3F37A60}" name="配信可否"/>
    <tableColumn id="4" xr3:uid="{91697FE7-96B2-47CF-BE56-910C90F317F2}" name="配信種別"/>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青緑">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BE7A1-136B-4906-B0DA-9593941E74E3}">
  <sheetPr codeName="Sheet3"/>
  <dimension ref="A2:U10"/>
  <sheetViews>
    <sheetView workbookViewId="0">
      <selection activeCell="H23" sqref="H23"/>
    </sheetView>
  </sheetViews>
  <sheetFormatPr defaultRowHeight="18.75" x14ac:dyDescent="0.45"/>
  <cols>
    <col min="1" max="1" width="5.88671875" customWidth="1"/>
    <col min="2" max="2" width="5.109375" customWidth="1"/>
    <col min="3" max="3" width="11.44140625" customWidth="1"/>
    <col min="11" max="11" width="8.6640625" customWidth="1"/>
    <col min="15" max="15" width="13.5546875" bestFit="1" customWidth="1"/>
    <col min="16" max="16" width="13.5546875" customWidth="1"/>
    <col min="18" max="21" width="9.109375" customWidth="1"/>
  </cols>
  <sheetData>
    <row r="2" spans="1:21" ht="19.5" thickBot="1" x14ac:dyDescent="0.5">
      <c r="A2" s="5" t="s">
        <v>24</v>
      </c>
      <c r="R2" s="5" t="s">
        <v>29</v>
      </c>
    </row>
    <row r="3" spans="1:21" ht="19.5" thickTop="1" x14ac:dyDescent="0.45">
      <c r="A3" s="1" t="s">
        <v>18</v>
      </c>
      <c r="B3" s="2" t="s">
        <v>19</v>
      </c>
      <c r="C3" s="2" t="s">
        <v>8</v>
      </c>
      <c r="D3" s="2" t="s">
        <v>9</v>
      </c>
      <c r="E3" s="2" t="s">
        <v>16</v>
      </c>
      <c r="F3" s="2" t="s">
        <v>4</v>
      </c>
      <c r="G3" s="2" t="s">
        <v>17</v>
      </c>
      <c r="H3" s="2" t="s">
        <v>0</v>
      </c>
      <c r="I3" s="2" t="s">
        <v>1</v>
      </c>
      <c r="J3" s="2" t="s">
        <v>2</v>
      </c>
      <c r="K3" s="2" t="s">
        <v>3</v>
      </c>
      <c r="L3" s="2" t="s">
        <v>22</v>
      </c>
      <c r="M3" s="2" t="s">
        <v>23</v>
      </c>
      <c r="N3" s="2" t="s">
        <v>25</v>
      </c>
      <c r="O3" s="2" t="s">
        <v>49</v>
      </c>
      <c r="P3" s="2" t="s">
        <v>72</v>
      </c>
      <c r="R3" s="3" t="s">
        <v>8</v>
      </c>
      <c r="S3" s="3" t="s">
        <v>9</v>
      </c>
      <c r="T3" s="3" t="s">
        <v>5</v>
      </c>
      <c r="U3" s="3" t="s">
        <v>25</v>
      </c>
    </row>
    <row r="4" spans="1:21" x14ac:dyDescent="0.45">
      <c r="A4" t="s">
        <v>86</v>
      </c>
      <c r="B4">
        <v>1</v>
      </c>
      <c r="C4" t="s">
        <v>7</v>
      </c>
      <c r="D4" t="s">
        <v>10</v>
      </c>
      <c r="E4" t="s">
        <v>50</v>
      </c>
      <c r="F4" t="s">
        <v>55</v>
      </c>
      <c r="G4" t="s">
        <v>54</v>
      </c>
      <c r="H4" t="s">
        <v>47</v>
      </c>
      <c r="I4" t="s">
        <v>56</v>
      </c>
      <c r="J4" t="s">
        <v>60</v>
      </c>
      <c r="K4" s="41" t="s">
        <v>44</v>
      </c>
      <c r="L4" t="s">
        <v>64</v>
      </c>
      <c r="M4" t="s">
        <v>65</v>
      </c>
      <c r="N4" t="s">
        <v>28</v>
      </c>
      <c r="O4" t="str">
        <f>IF(配信リスト[[#This Row],[種別前後]] = "前",配信リスト[[#This Row],[会社種別]]&amp;配信リスト[[#This Row],[会社名]],配信リスト[[#This Row],[会社名]]&amp;配信リスト[[#This Row],[会社種別]])</f>
        <v>有限会社会社１</v>
      </c>
      <c r="P4" t="str">
        <f>IF(配信リスト[[#This Row],[氏名]]="","",IF(配信リスト[[#This Row],[役職]]="",配信リスト[[#This Row],[氏名]],配信リスト[[#This Row],[役職]]&amp;"  " &amp;配信リスト[[#This Row],[氏名]]))</f>
        <v>役職１  名前１</v>
      </c>
      <c r="R4" t="s">
        <v>6</v>
      </c>
      <c r="S4" t="s">
        <v>10</v>
      </c>
      <c r="T4" s="4" t="s">
        <v>20</v>
      </c>
      <c r="U4" t="s">
        <v>3</v>
      </c>
    </row>
    <row r="5" spans="1:21" x14ac:dyDescent="0.45">
      <c r="A5" t="s">
        <v>21</v>
      </c>
      <c r="B5">
        <v>2</v>
      </c>
      <c r="C5" t="s">
        <v>6</v>
      </c>
      <c r="D5" t="s">
        <v>11</v>
      </c>
      <c r="E5" t="s">
        <v>51</v>
      </c>
      <c r="F5" t="s">
        <v>53</v>
      </c>
      <c r="I5" t="s">
        <v>57</v>
      </c>
      <c r="J5" t="s">
        <v>61</v>
      </c>
      <c r="K5" t="s">
        <v>45</v>
      </c>
      <c r="L5" t="s">
        <v>66</v>
      </c>
      <c r="M5" t="s">
        <v>67</v>
      </c>
      <c r="N5" t="s">
        <v>27</v>
      </c>
      <c r="O5" t="str">
        <f>IF(配信リスト[[#This Row],[種別前後]] = "前",配信リスト[[#This Row],[会社種別]]&amp;配信リスト[[#This Row],[会社名]],配信リスト[[#This Row],[会社名]]&amp;配信リスト[[#This Row],[会社種別]])</f>
        <v>会社２株式会社</v>
      </c>
      <c r="P5" t="str">
        <f>IF(配信リスト[[#This Row],[氏名]]="","",IF(配信リスト[[#This Row],[役職]]="",配信リスト[[#This Row],[氏名]],配信リスト[[#This Row],[役職]]&amp;"  " &amp;配信リスト[[#This Row],[氏名]]))</f>
        <v/>
      </c>
      <c r="R5" t="s">
        <v>7</v>
      </c>
      <c r="S5" t="s">
        <v>11</v>
      </c>
      <c r="T5" t="s">
        <v>21</v>
      </c>
      <c r="U5" t="s">
        <v>2</v>
      </c>
    </row>
    <row r="6" spans="1:21" x14ac:dyDescent="0.45">
      <c r="A6" t="s">
        <v>21</v>
      </c>
      <c r="B6">
        <v>3</v>
      </c>
      <c r="H6" t="s">
        <v>48</v>
      </c>
      <c r="I6" t="s">
        <v>58</v>
      </c>
      <c r="J6" t="s">
        <v>62</v>
      </c>
      <c r="K6" t="s">
        <v>46</v>
      </c>
      <c r="L6" t="s">
        <v>68</v>
      </c>
      <c r="M6" t="s">
        <v>69</v>
      </c>
      <c r="N6" t="s">
        <v>26</v>
      </c>
      <c r="O6" t="str">
        <f>IF(配信リスト[[#This Row],[種別前後]] = "前",配信リスト[[#This Row],[会社種別]]&amp;配信リスト[[#This Row],[会社名]],配信リスト[[#This Row],[会社名]]&amp;配信リスト[[#This Row],[会社種別]])</f>
        <v/>
      </c>
      <c r="P6" t="str">
        <f>IF(配信リスト[[#This Row],[氏名]]="","",IF(配信リスト[[#This Row],[役職]]="",配信リスト[[#This Row],[氏名]],配信リスト[[#This Row],[役職]]&amp;"  " &amp;配信リスト[[#This Row],[氏名]]))</f>
        <v>名前３</v>
      </c>
      <c r="R6" t="s">
        <v>12</v>
      </c>
      <c r="U6" t="s">
        <v>1</v>
      </c>
    </row>
    <row r="7" spans="1:21" x14ac:dyDescent="0.45">
      <c r="A7" t="s">
        <v>86</v>
      </c>
      <c r="B7">
        <v>4</v>
      </c>
      <c r="E7" t="s">
        <v>52</v>
      </c>
      <c r="I7" t="s">
        <v>59</v>
      </c>
      <c r="J7" t="s">
        <v>63</v>
      </c>
      <c r="K7" s="41" t="s">
        <v>116</v>
      </c>
      <c r="L7" t="s">
        <v>70</v>
      </c>
      <c r="M7" t="s">
        <v>71</v>
      </c>
      <c r="N7" t="s">
        <v>26</v>
      </c>
      <c r="O7" t="str">
        <f>IF(配信リスト[[#This Row],[種別前後]] = "前",配信リスト[[#This Row],[会社種別]]&amp;配信リスト[[#This Row],[会社名]],配信リスト[[#This Row],[会社名]]&amp;配信リスト[[#This Row],[会社種別]])</f>
        <v>会社４</v>
      </c>
      <c r="P7" t="str">
        <f>IF(配信リスト[[#This Row],[氏名]]="","",IF(配信リスト[[#This Row],[役職]]="",配信リスト[[#This Row],[氏名]],配信リスト[[#This Row],[役職]]&amp;"  " &amp;配信リスト[[#This Row],[氏名]]))</f>
        <v/>
      </c>
      <c r="R7" t="s">
        <v>13</v>
      </c>
    </row>
    <row r="8" spans="1:21" x14ac:dyDescent="0.45">
      <c r="R8" t="s">
        <v>14</v>
      </c>
    </row>
    <row r="9" spans="1:21" x14ac:dyDescent="0.45">
      <c r="R9" t="s">
        <v>15</v>
      </c>
    </row>
    <row r="10" spans="1:21" x14ac:dyDescent="0.45">
      <c r="R10" t="s">
        <v>30</v>
      </c>
    </row>
  </sheetData>
  <phoneticPr fontId="2"/>
  <dataValidations count="5">
    <dataValidation type="list" allowBlank="1" showInputMessage="1" showErrorMessage="1" sqref="C5:C7" xr:uid="{584C94D5-6E57-4BCC-B979-3C63AB7CC7DD}">
      <formula1>$R$4:$R$8</formula1>
    </dataValidation>
    <dataValidation type="list" allowBlank="1" showInputMessage="1" showErrorMessage="1" sqref="D4:D7" xr:uid="{71C85D0C-165D-4AF7-ADEE-D71F567160BC}">
      <formula1>$S$4:$S$5</formula1>
    </dataValidation>
    <dataValidation type="list" allowBlank="1" showInputMessage="1" showErrorMessage="1" error="〇か×を選択してください" sqref="A4:A7" xr:uid="{DF826FD4-FD7E-4000-A02D-291BEC55BBE4}">
      <formula1>$T$4:$T$5</formula1>
    </dataValidation>
    <dataValidation type="list" allowBlank="1" showInputMessage="1" showErrorMessage="1" sqref="N4:N7" xr:uid="{A56779A3-52AA-4F25-90A5-8B69922AF20F}">
      <formula1>$U$4:$U$6</formula1>
    </dataValidation>
    <dataValidation type="list" allowBlank="1" showInputMessage="1" showErrorMessage="1" sqref="C4" xr:uid="{D5A13C46-5670-4301-9808-B6A7D0AC2606}">
      <formula1>$R$4:$R$10</formula1>
    </dataValidation>
  </dataValidation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20A54-BBB7-43E5-A493-7ADDC637835F}">
  <sheetPr codeName="Sheet1"/>
  <dimension ref="A2:H15"/>
  <sheetViews>
    <sheetView tabSelected="1" zoomScaleNormal="100" workbookViewId="0">
      <selection activeCell="H13" sqref="H13"/>
    </sheetView>
  </sheetViews>
  <sheetFormatPr defaultRowHeight="18.75" x14ac:dyDescent="0.45"/>
  <cols>
    <col min="1" max="1" width="9.88671875" bestFit="1" customWidth="1"/>
    <col min="2" max="2" width="42.33203125" customWidth="1"/>
  </cols>
  <sheetData>
    <row r="2" spans="1:8" ht="19.5" thickBot="1" x14ac:dyDescent="0.5">
      <c r="A2" s="6" t="s">
        <v>31</v>
      </c>
      <c r="E2" s="26" t="s">
        <v>76</v>
      </c>
      <c r="H2" s="32" t="s">
        <v>85</v>
      </c>
    </row>
    <row r="3" spans="1:8" ht="19.5" thickTop="1" x14ac:dyDescent="0.45">
      <c r="A3" s="16" t="s">
        <v>33</v>
      </c>
      <c r="B3" s="17" t="str">
        <f>IF($D3&gt;0,VLOOKUP($D3,配信リスト[[No.]:[MAIL]],10,FALSE),IF($F3&lt;&gt;"",VLOOKUP($F3,配信リスト[[氏名]:[MAIL]],4,FALSE),""))</f>
        <v>mail2</v>
      </c>
      <c r="C3" s="18" t="s">
        <v>37</v>
      </c>
      <c r="D3" s="24">
        <v>2</v>
      </c>
      <c r="E3" s="19" t="s">
        <v>38</v>
      </c>
      <c r="F3" s="24"/>
      <c r="H3" s="32" t="str">
        <f>LOOKUP(D3,配信リスト[No.],配信リスト[配信])</f>
        <v>×</v>
      </c>
    </row>
    <row r="4" spans="1:8" x14ac:dyDescent="0.45">
      <c r="A4" s="20" t="s">
        <v>32</v>
      </c>
      <c r="B4" s="7" t="str">
        <f>IF($D4&gt;0,VLOOKUP($D4,配信リスト[[No.]:[MAIL]],10,FALSE),IF($F4&lt;&gt;"",VLOOKUP($F4,配信リスト[[氏名]:[MAIL]],4,FALSE),""))</f>
        <v/>
      </c>
      <c r="C4" s="10" t="s">
        <v>37</v>
      </c>
      <c r="D4" s="25"/>
      <c r="E4" s="11" t="s">
        <v>38</v>
      </c>
      <c r="F4" s="25"/>
      <c r="H4" s="32" t="str">
        <f>LOOKUP(D3,配信リスト[No.],配信リスト[配信種別])</f>
        <v>FAX</v>
      </c>
    </row>
    <row r="5" spans="1:8" ht="19.5" thickBot="1" x14ac:dyDescent="0.5">
      <c r="A5" s="20" t="s">
        <v>34</v>
      </c>
      <c r="B5" s="37" t="str">
        <f>IF($D5&gt;0,VLOOKUP($D5,配信リスト[[No.]:[MAIL]],10,FALSE),IF($F5&lt;&gt;"",VLOOKUP($F5,配信リスト[[氏名]:[MAIL]],4,FALSE),""))</f>
        <v/>
      </c>
      <c r="C5" s="38" t="s">
        <v>37</v>
      </c>
      <c r="D5" s="39"/>
      <c r="E5" s="40" t="s">
        <v>38</v>
      </c>
      <c r="F5" s="39"/>
    </row>
    <row r="6" spans="1:8" ht="19.5" thickTop="1" x14ac:dyDescent="0.45">
      <c r="A6" s="21" t="s">
        <v>39</v>
      </c>
      <c r="B6" s="59"/>
      <c r="C6" s="60"/>
      <c r="D6" s="60"/>
      <c r="E6" s="60"/>
      <c r="F6" s="61"/>
    </row>
    <row r="7" spans="1:8" x14ac:dyDescent="0.45">
      <c r="A7" s="21" t="s">
        <v>40</v>
      </c>
      <c r="B7" s="56"/>
      <c r="C7" s="57"/>
      <c r="D7" s="57"/>
      <c r="E7" s="57"/>
      <c r="F7" s="58"/>
    </row>
    <row r="8" spans="1:8" ht="19.5" thickBot="1" x14ac:dyDescent="0.5">
      <c r="A8" s="21" t="s">
        <v>41</v>
      </c>
      <c r="B8" s="53"/>
      <c r="C8" s="54"/>
      <c r="D8" s="54"/>
      <c r="E8" s="54"/>
      <c r="F8" s="55"/>
    </row>
    <row r="9" spans="1:8" ht="20.25" thickTop="1" thickBot="1" x14ac:dyDescent="0.5">
      <c r="A9" s="22" t="s">
        <v>35</v>
      </c>
      <c r="B9" s="50" t="s">
        <v>74</v>
      </c>
      <c r="C9" s="51"/>
      <c r="D9" s="51"/>
      <c r="E9" s="51"/>
      <c r="F9" s="52"/>
    </row>
    <row r="10" spans="1:8" ht="19.5" thickTop="1" x14ac:dyDescent="0.45">
      <c r="A10" s="20" t="s">
        <v>16</v>
      </c>
      <c r="B10" s="12" t="str">
        <f>VLOOKUP(B3,配信リスト[[MAIL]:[会社名2]],5,FALSE)</f>
        <v>会社２株式会社</v>
      </c>
      <c r="C10" s="13" t="str">
        <f>IF(AND(C11="",C12=""),"御中","")</f>
        <v/>
      </c>
      <c r="D10" s="13"/>
      <c r="E10" s="13"/>
      <c r="F10" s="13"/>
      <c r="H10" s="36"/>
    </row>
    <row r="11" spans="1:8" x14ac:dyDescent="0.45">
      <c r="A11" s="20" t="s">
        <v>75</v>
      </c>
      <c r="B11" s="8" t="str">
        <f>IF(INDEX(配信リスト[[部署]:[MAIL]],MATCH(B3,配信リスト[MAIL],0),1)=0,"",INDEX(配信リスト[[部署]:[MAIL]],MATCH(B3,配信リスト[MAIL],0),1))</f>
        <v>部署２</v>
      </c>
      <c r="C11" s="9" t="str">
        <f>IF(AND(C12="",NOT(B11="")),"御中","")</f>
        <v>御中</v>
      </c>
      <c r="D11" s="9"/>
      <c r="E11" s="9"/>
      <c r="F11" s="9"/>
      <c r="H11" s="33"/>
    </row>
    <row r="12" spans="1:8" ht="19.5" thickBot="1" x14ac:dyDescent="0.5">
      <c r="A12" s="20" t="s">
        <v>0</v>
      </c>
      <c r="B12" s="14" t="str">
        <f>VLOOKUP(B3,配信リスト[[MAIL]:[役職と氏名]],6,FALSE)</f>
        <v/>
      </c>
      <c r="C12" s="15" t="str">
        <f>IF(B12="","","様")</f>
        <v/>
      </c>
      <c r="D12" s="15"/>
      <c r="E12" s="15"/>
      <c r="F12" s="15"/>
      <c r="H12" s="36"/>
    </row>
    <row r="13" spans="1:8" ht="303" customHeight="1" thickTop="1" thickBot="1" x14ac:dyDescent="0.5">
      <c r="A13" s="22" t="s">
        <v>36</v>
      </c>
      <c r="B13" s="62" t="s">
        <v>115</v>
      </c>
      <c r="C13" s="63"/>
      <c r="D13" s="63"/>
      <c r="E13" s="63"/>
      <c r="F13" s="64"/>
    </row>
    <row r="14" spans="1:8" ht="123.75" customHeight="1" thickTop="1" thickBot="1" x14ac:dyDescent="0.5">
      <c r="A14" s="23" t="s">
        <v>42</v>
      </c>
      <c r="B14" s="47" t="s">
        <v>73</v>
      </c>
      <c r="C14" s="48"/>
      <c r="D14" s="48"/>
      <c r="E14" s="48"/>
      <c r="F14" s="49"/>
    </row>
    <row r="15" spans="1:8" ht="19.5" thickTop="1" x14ac:dyDescent="0.45"/>
  </sheetData>
  <protectedRanges>
    <protectedRange algorithmName="SHA-512" hashValue="y/H9wXtfc45IG9bps5bzlwX4ryam/tgUKhtRHLpSi8RI/NvaX+nQocNiz3ECgvUpsCtU//8Vu6A0fdv0qn1XSg==" saltValue="eOnzxVFhp+FMdNkcfxz37g==" spinCount="100000" sqref="B3:B5" name="範囲1"/>
  </protectedRanges>
  <mergeCells count="6">
    <mergeCell ref="B14:F14"/>
    <mergeCell ref="B9:F9"/>
    <mergeCell ref="B8:F8"/>
    <mergeCell ref="B7:F7"/>
    <mergeCell ref="B6:F6"/>
    <mergeCell ref="B13:F13"/>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B6へ入力">
                <anchor moveWithCells="1">
                  <from>
                    <xdr:col>5</xdr:col>
                    <xdr:colOff>28575</xdr:colOff>
                    <xdr:row>5</xdr:row>
                    <xdr:rowOff>38100</xdr:rowOff>
                  </from>
                  <to>
                    <xdr:col>5</xdr:col>
                    <xdr:colOff>742950</xdr:colOff>
                    <xdr:row>5</xdr:row>
                    <xdr:rowOff>219075</xdr:rowOff>
                  </to>
                </anchor>
              </controlPr>
            </control>
          </mc:Choice>
        </mc:AlternateContent>
        <mc:AlternateContent xmlns:mc="http://schemas.openxmlformats.org/markup-compatibility/2006">
          <mc:Choice Requires="x14">
            <control shapeId="2055" r:id="rId5" name="Button 7">
              <controlPr defaultSize="0" print="0" autoFill="0" autoPict="0" macro="[0]!B7へ入力">
                <anchor moveWithCells="1">
                  <from>
                    <xdr:col>5</xdr:col>
                    <xdr:colOff>28575</xdr:colOff>
                    <xdr:row>6</xdr:row>
                    <xdr:rowOff>38100</xdr:rowOff>
                  </from>
                  <to>
                    <xdr:col>5</xdr:col>
                    <xdr:colOff>742950</xdr:colOff>
                    <xdr:row>6</xdr:row>
                    <xdr:rowOff>219075</xdr:rowOff>
                  </to>
                </anchor>
              </controlPr>
            </control>
          </mc:Choice>
        </mc:AlternateContent>
        <mc:AlternateContent xmlns:mc="http://schemas.openxmlformats.org/markup-compatibility/2006">
          <mc:Choice Requires="x14">
            <control shapeId="2056" r:id="rId6" name="Button 8">
              <controlPr defaultSize="0" print="0" autoFill="0" autoPict="0" macro="[0]!B8へ入力">
                <anchor moveWithCells="1">
                  <from>
                    <xdr:col>5</xdr:col>
                    <xdr:colOff>28575</xdr:colOff>
                    <xdr:row>7</xdr:row>
                    <xdr:rowOff>38100</xdr:rowOff>
                  </from>
                  <to>
                    <xdr:col>5</xdr:col>
                    <xdr:colOff>742950</xdr:colOff>
                    <xdr:row>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C1D8CFA-5831-4EC1-8ED0-745F706A1F3C}">
          <x14:formula1>
            <xm:f>住所録!$B$4:$B$7</xm:f>
          </x14:formula1>
          <xm:sqref>D3:D5</xm:sqref>
        </x14:dataValidation>
        <x14:dataValidation type="list" allowBlank="1" showInputMessage="1" showErrorMessage="1" xr:uid="{E1A7DE3E-2D95-4FB1-BDBA-4B4BAACCB101}">
          <x14:formula1>
            <xm:f>住所録!$H$4:$H$7</xm:f>
          </x14:formula1>
          <xm:sqref>F3:F5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8F269-A31B-4C02-BEB4-106A73FC80AA}">
  <sheetPr codeName="Sheet2"/>
  <dimension ref="A1:I38"/>
  <sheetViews>
    <sheetView zoomScale="55" zoomScaleNormal="55" workbookViewId="0">
      <selection activeCell="N10" sqref="N10"/>
    </sheetView>
  </sheetViews>
  <sheetFormatPr defaultRowHeight="18.75" x14ac:dyDescent="0.45"/>
  <cols>
    <col min="1" max="1" width="8.44140625" customWidth="1"/>
    <col min="2" max="2" width="27.21875" customWidth="1"/>
  </cols>
  <sheetData>
    <row r="1" spans="1:9" ht="19.5" thickBot="1" x14ac:dyDescent="0.5"/>
    <row r="2" spans="1:9" ht="20.25" thickTop="1" thickBot="1" x14ac:dyDescent="0.5">
      <c r="A2" s="5" t="s">
        <v>43</v>
      </c>
      <c r="D2" s="18" t="s">
        <v>37</v>
      </c>
      <c r="E2" s="30">
        <v>4</v>
      </c>
      <c r="F2" s="19" t="s">
        <v>38</v>
      </c>
      <c r="G2" s="30"/>
      <c r="I2" s="32" t="s">
        <v>85</v>
      </c>
    </row>
    <row r="3" spans="1:9" ht="19.5" thickTop="1" x14ac:dyDescent="0.45">
      <c r="E3" s="31"/>
      <c r="G3" s="31"/>
      <c r="I3" s="32" t="str">
        <f>LOOKUP(E2,配信リスト[No.],配信リスト[配信])</f>
        <v>〇</v>
      </c>
    </row>
    <row r="4" spans="1:9" x14ac:dyDescent="0.45">
      <c r="B4" s="33" t="str">
        <f>LOOKUP($B$7,配信リスト[FAX],配信リスト[会社名2])</f>
        <v>会社４</v>
      </c>
      <c r="C4" s="33" t="str">
        <f>IF(AND(C5="",C6=""),"御中","")</f>
        <v>御中</v>
      </c>
      <c r="E4" s="66">
        <f ca="1">TODAY()</f>
        <v>44162</v>
      </c>
      <c r="F4" s="66"/>
      <c r="I4" s="32" t="str">
        <f>LOOKUP(E2,配信リスト[No.],配信リスト[配信種別])</f>
        <v>MAIL</v>
      </c>
    </row>
    <row r="5" spans="1:9" x14ac:dyDescent="0.45">
      <c r="B5" s="33" t="str">
        <f>IF(LOOKUP($B$7,配信リスト[FAX],配信リスト[部署]) &lt;&gt;"",LOOKUP($B$7,配信リスト[FAX],配信リスト[部署]),"")</f>
        <v/>
      </c>
      <c r="C5" s="33" t="str">
        <f>IF(AND(C6="",NOT(B5="")),"御中","")</f>
        <v/>
      </c>
    </row>
    <row r="6" spans="1:9" x14ac:dyDescent="0.45">
      <c r="B6" s="33" t="str">
        <f>LOOKUP($B$7,配信リスト[FAX],配信リスト[役職と氏名])</f>
        <v/>
      </c>
      <c r="C6" s="33" t="str">
        <f>IF(B6="","","様")</f>
        <v/>
      </c>
    </row>
    <row r="7" spans="1:9" x14ac:dyDescent="0.45">
      <c r="B7" s="27" t="str">
        <f>IF($E$2&gt;0,VLOOKUP($E$2,配信リスト[[No.]:[FAX]],9,FALSE),IF(NOT($G$2=""),LOOKUP($G$2,配信リスト[氏名],配信リスト[FAX]),""))</f>
        <v>FAX4</v>
      </c>
    </row>
    <row r="9" spans="1:9" x14ac:dyDescent="0.45">
      <c r="B9" t="s">
        <v>35</v>
      </c>
    </row>
    <row r="10" spans="1:9" ht="19.5" thickBot="1" x14ac:dyDescent="0.5">
      <c r="B10" s="65"/>
      <c r="C10" s="65"/>
      <c r="D10" s="65"/>
      <c r="E10" s="65"/>
      <c r="F10" s="65"/>
    </row>
    <row r="11" spans="1:9" ht="20.25" thickTop="1" thickBot="1" x14ac:dyDescent="0.5">
      <c r="B11" s="28"/>
      <c r="C11" s="28"/>
      <c r="D11" s="28"/>
      <c r="E11" s="28"/>
      <c r="F11" s="28"/>
    </row>
    <row r="12" spans="1:9" ht="20.25" thickTop="1" thickBot="1" x14ac:dyDescent="0.5">
      <c r="A12" s="76" t="s">
        <v>77</v>
      </c>
      <c r="B12" s="76"/>
      <c r="C12" s="76"/>
      <c r="D12" s="76"/>
      <c r="E12" s="76"/>
      <c r="F12" s="76"/>
      <c r="G12" s="76"/>
    </row>
    <row r="13" spans="1:9" ht="22.5" customHeight="1" thickTop="1" x14ac:dyDescent="0.45">
      <c r="A13" s="67"/>
      <c r="B13" s="68"/>
      <c r="C13" s="68"/>
      <c r="D13" s="68"/>
      <c r="E13" s="68"/>
      <c r="F13" s="68"/>
      <c r="G13" s="69"/>
    </row>
    <row r="14" spans="1:9" ht="22.5" customHeight="1" x14ac:dyDescent="0.45">
      <c r="A14" s="70"/>
      <c r="B14" s="71"/>
      <c r="C14" s="71"/>
      <c r="D14" s="71"/>
      <c r="E14" s="71"/>
      <c r="F14" s="71"/>
      <c r="G14" s="72"/>
    </row>
    <row r="15" spans="1:9" ht="22.5" customHeight="1" x14ac:dyDescent="0.45">
      <c r="A15" s="70"/>
      <c r="B15" s="71"/>
      <c r="C15" s="71"/>
      <c r="D15" s="71"/>
      <c r="E15" s="71"/>
      <c r="F15" s="71"/>
      <c r="G15" s="72"/>
    </row>
    <row r="16" spans="1:9" ht="22.5" customHeight="1" x14ac:dyDescent="0.45">
      <c r="A16" s="70"/>
      <c r="B16" s="71"/>
      <c r="C16" s="71"/>
      <c r="D16" s="71"/>
      <c r="E16" s="71"/>
      <c r="F16" s="71"/>
      <c r="G16" s="72"/>
    </row>
    <row r="17" spans="1:7" ht="22.5" customHeight="1" x14ac:dyDescent="0.45">
      <c r="A17" s="70"/>
      <c r="B17" s="71"/>
      <c r="C17" s="71"/>
      <c r="D17" s="71"/>
      <c r="E17" s="71"/>
      <c r="F17" s="71"/>
      <c r="G17" s="72"/>
    </row>
    <row r="18" spans="1:7" ht="22.5" customHeight="1" x14ac:dyDescent="0.45">
      <c r="A18" s="70"/>
      <c r="B18" s="71"/>
      <c r="C18" s="71"/>
      <c r="D18" s="71"/>
      <c r="E18" s="71"/>
      <c r="F18" s="71"/>
      <c r="G18" s="72"/>
    </row>
    <row r="19" spans="1:7" ht="22.5" customHeight="1" x14ac:dyDescent="0.45">
      <c r="A19" s="70"/>
      <c r="B19" s="71"/>
      <c r="C19" s="71"/>
      <c r="D19" s="71"/>
      <c r="E19" s="71"/>
      <c r="F19" s="71"/>
      <c r="G19" s="72"/>
    </row>
    <row r="20" spans="1:7" ht="22.5" customHeight="1" x14ac:dyDescent="0.45">
      <c r="A20" s="70"/>
      <c r="B20" s="71"/>
      <c r="C20" s="71"/>
      <c r="D20" s="71"/>
      <c r="E20" s="71"/>
      <c r="F20" s="71"/>
      <c r="G20" s="72"/>
    </row>
    <row r="21" spans="1:7" ht="22.5" customHeight="1" x14ac:dyDescent="0.45">
      <c r="A21" s="70"/>
      <c r="B21" s="71"/>
      <c r="C21" s="71"/>
      <c r="D21" s="71"/>
      <c r="E21" s="71"/>
      <c r="F21" s="71"/>
      <c r="G21" s="72"/>
    </row>
    <row r="22" spans="1:7" ht="22.5" customHeight="1" x14ac:dyDescent="0.45">
      <c r="A22" s="70"/>
      <c r="B22" s="71"/>
      <c r="C22" s="71"/>
      <c r="D22" s="71"/>
      <c r="E22" s="71"/>
      <c r="F22" s="71"/>
      <c r="G22" s="72"/>
    </row>
    <row r="23" spans="1:7" ht="22.5" customHeight="1" x14ac:dyDescent="0.45">
      <c r="A23" s="70"/>
      <c r="B23" s="71"/>
      <c r="C23" s="71"/>
      <c r="D23" s="71"/>
      <c r="E23" s="71"/>
      <c r="F23" s="71"/>
      <c r="G23" s="72"/>
    </row>
    <row r="24" spans="1:7" ht="22.5" customHeight="1" x14ac:dyDescent="0.45">
      <c r="A24" s="70"/>
      <c r="B24" s="71"/>
      <c r="C24" s="71"/>
      <c r="D24" s="71"/>
      <c r="E24" s="71"/>
      <c r="F24" s="71"/>
      <c r="G24" s="72"/>
    </row>
    <row r="25" spans="1:7" ht="22.5" customHeight="1" x14ac:dyDescent="0.45">
      <c r="A25" s="70"/>
      <c r="B25" s="71"/>
      <c r="C25" s="71"/>
      <c r="D25" s="71"/>
      <c r="E25" s="71"/>
      <c r="F25" s="71"/>
      <c r="G25" s="72"/>
    </row>
    <row r="26" spans="1:7" ht="22.5" customHeight="1" x14ac:dyDescent="0.45">
      <c r="A26" s="70"/>
      <c r="B26" s="71"/>
      <c r="C26" s="71"/>
      <c r="D26" s="71"/>
      <c r="E26" s="71"/>
      <c r="F26" s="71"/>
      <c r="G26" s="72"/>
    </row>
    <row r="27" spans="1:7" ht="22.5" customHeight="1" x14ac:dyDescent="0.45">
      <c r="A27" s="70"/>
      <c r="B27" s="71"/>
      <c r="C27" s="71"/>
      <c r="D27" s="71"/>
      <c r="E27" s="71"/>
      <c r="F27" s="71"/>
      <c r="G27" s="72"/>
    </row>
    <row r="28" spans="1:7" ht="22.5" customHeight="1" x14ac:dyDescent="0.45">
      <c r="A28" s="70"/>
      <c r="B28" s="71"/>
      <c r="C28" s="71"/>
      <c r="D28" s="71"/>
      <c r="E28" s="71"/>
      <c r="F28" s="71"/>
      <c r="G28" s="72"/>
    </row>
    <row r="29" spans="1:7" ht="22.5" customHeight="1" x14ac:dyDescent="0.45">
      <c r="A29" s="70"/>
      <c r="B29" s="71"/>
      <c r="C29" s="71"/>
      <c r="D29" s="71"/>
      <c r="E29" s="71"/>
      <c r="F29" s="71"/>
      <c r="G29" s="72"/>
    </row>
    <row r="30" spans="1:7" ht="22.5" customHeight="1" x14ac:dyDescent="0.45">
      <c r="A30" s="70"/>
      <c r="B30" s="71"/>
      <c r="C30" s="71"/>
      <c r="D30" s="71"/>
      <c r="E30" s="71"/>
      <c r="F30" s="71"/>
      <c r="G30" s="72"/>
    </row>
    <row r="31" spans="1:7" ht="22.5" customHeight="1" x14ac:dyDescent="0.45">
      <c r="A31" s="73"/>
      <c r="B31" s="74"/>
      <c r="C31" s="74"/>
      <c r="D31" s="74"/>
      <c r="E31" s="74"/>
      <c r="F31" s="74"/>
      <c r="G31" s="75"/>
    </row>
    <row r="32" spans="1:7" x14ac:dyDescent="0.45">
      <c r="D32" t="s">
        <v>78</v>
      </c>
    </row>
    <row r="33" spans="4:4" x14ac:dyDescent="0.45">
      <c r="D33" t="s">
        <v>79</v>
      </c>
    </row>
    <row r="34" spans="4:4" x14ac:dyDescent="0.45">
      <c r="D34" s="29" t="s">
        <v>84</v>
      </c>
    </row>
    <row r="35" spans="4:4" x14ac:dyDescent="0.45">
      <c r="D35" s="29" t="s">
        <v>80</v>
      </c>
    </row>
    <row r="36" spans="4:4" x14ac:dyDescent="0.45">
      <c r="D36" s="29" t="s">
        <v>81</v>
      </c>
    </row>
    <row r="37" spans="4:4" x14ac:dyDescent="0.45">
      <c r="D37" s="29" t="s">
        <v>82</v>
      </c>
    </row>
    <row r="38" spans="4:4" x14ac:dyDescent="0.45">
      <c r="D38" s="29" t="s">
        <v>83</v>
      </c>
    </row>
  </sheetData>
  <mergeCells count="4">
    <mergeCell ref="B10:F10"/>
    <mergeCell ref="E4:F4"/>
    <mergeCell ref="A13:G31"/>
    <mergeCell ref="A12:G12"/>
  </mergeCells>
  <phoneticPr fontId="2"/>
  <printOptions horizontalCentered="1" verticalCentered="1"/>
  <pageMargins left="0.23622047244094491" right="0.23622047244094491" top="0.74803149606299213" bottom="0.74803149606299213" header="0.31496062992125984" footer="0.31496062992125984"/>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83D9007-D922-437D-9D03-BD6269F253DF}">
          <x14:formula1>
            <xm:f>住所録!$B$4:$B$7</xm:f>
          </x14:formula1>
          <xm:sqref>E2</xm:sqref>
        </x14:dataValidation>
        <x14:dataValidation type="list" allowBlank="1" showInputMessage="1" showErrorMessage="1" xr:uid="{F61A1631-B6A6-488D-8429-6EB5667855A8}">
          <x14:formula1>
            <xm:f>住所録!$H$4:$H$7</xm:f>
          </x14:formula1>
          <xm:sqref>G2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8C5F5-EE34-4920-B4BF-9674F2028096}">
  <sheetPr codeName="Sheet4"/>
  <dimension ref="A1:A259"/>
  <sheetViews>
    <sheetView topLeftCell="A298" zoomScaleNormal="100" workbookViewId="0">
      <selection activeCell="A12" sqref="A12"/>
    </sheetView>
  </sheetViews>
  <sheetFormatPr defaultRowHeight="18.75" x14ac:dyDescent="0.45"/>
  <cols>
    <col min="1" max="1" width="74.77734375" customWidth="1"/>
  </cols>
  <sheetData>
    <row r="1" spans="1:1" ht="24.75" thickBot="1" x14ac:dyDescent="0.5">
      <c r="A1" s="34" t="s">
        <v>87</v>
      </c>
    </row>
    <row r="2" spans="1:1" ht="19.5" thickTop="1" x14ac:dyDescent="0.45">
      <c r="A2" t="s">
        <v>88</v>
      </c>
    </row>
    <row r="3" spans="1:1" x14ac:dyDescent="0.45">
      <c r="A3" t="s">
        <v>89</v>
      </c>
    </row>
    <row r="4" spans="1:1" x14ac:dyDescent="0.45">
      <c r="A4" t="s">
        <v>90</v>
      </c>
    </row>
    <row r="5" spans="1:1" x14ac:dyDescent="0.45">
      <c r="A5" t="s">
        <v>91</v>
      </c>
    </row>
    <row r="6" spans="1:1" x14ac:dyDescent="0.45">
      <c r="A6" t="s">
        <v>92</v>
      </c>
    </row>
    <row r="8" spans="1:1" ht="21" thickBot="1" x14ac:dyDescent="0.5">
      <c r="A8" s="46" t="s">
        <v>177</v>
      </c>
    </row>
    <row r="9" spans="1:1" ht="19.5" thickTop="1" x14ac:dyDescent="0.45">
      <c r="A9" s="45" t="s">
        <v>87</v>
      </c>
    </row>
    <row r="10" spans="1:1" x14ac:dyDescent="0.45">
      <c r="A10" s="45" t="s">
        <v>173</v>
      </c>
    </row>
    <row r="11" spans="1:1" x14ac:dyDescent="0.45">
      <c r="A11" s="45" t="s">
        <v>174</v>
      </c>
    </row>
    <row r="12" spans="1:1" x14ac:dyDescent="0.45">
      <c r="A12" s="45" t="s">
        <v>175</v>
      </c>
    </row>
    <row r="13" spans="1:1" x14ac:dyDescent="0.45">
      <c r="A13" s="45" t="s">
        <v>176</v>
      </c>
    </row>
    <row r="14" spans="1:1" x14ac:dyDescent="0.45">
      <c r="A14" s="45" t="s">
        <v>190</v>
      </c>
    </row>
    <row r="15" spans="1:1" x14ac:dyDescent="0.45">
      <c r="A15" s="45" t="s">
        <v>191</v>
      </c>
    </row>
    <row r="40" spans="1:1" ht="19.5" thickBot="1" x14ac:dyDescent="0.5">
      <c r="A40" s="35" t="s">
        <v>118</v>
      </c>
    </row>
    <row r="48" spans="1:1" x14ac:dyDescent="0.45">
      <c r="A48" t="s">
        <v>94</v>
      </c>
    </row>
    <row r="49" spans="1:1" x14ac:dyDescent="0.45">
      <c r="A49" t="s">
        <v>95</v>
      </c>
    </row>
    <row r="50" spans="1:1" x14ac:dyDescent="0.45">
      <c r="A50" t="s">
        <v>96</v>
      </c>
    </row>
    <row r="51" spans="1:1" x14ac:dyDescent="0.45">
      <c r="A51" t="s">
        <v>93</v>
      </c>
    </row>
    <row r="52" spans="1:1" x14ac:dyDescent="0.45">
      <c r="A52" t="s">
        <v>97</v>
      </c>
    </row>
    <row r="53" spans="1:1" x14ac:dyDescent="0.45">
      <c r="A53" t="s">
        <v>98</v>
      </c>
    </row>
    <row r="54" spans="1:1" x14ac:dyDescent="0.45">
      <c r="A54" t="s">
        <v>99</v>
      </c>
    </row>
    <row r="55" spans="1:1" x14ac:dyDescent="0.45">
      <c r="A55" t="s">
        <v>104</v>
      </c>
    </row>
    <row r="56" spans="1:1" x14ac:dyDescent="0.45">
      <c r="A56" t="s">
        <v>105</v>
      </c>
    </row>
    <row r="57" spans="1:1" x14ac:dyDescent="0.45">
      <c r="A57" t="s">
        <v>100</v>
      </c>
    </row>
    <row r="58" spans="1:1" x14ac:dyDescent="0.45">
      <c r="A58" t="s">
        <v>106</v>
      </c>
    </row>
    <row r="59" spans="1:1" x14ac:dyDescent="0.45">
      <c r="A59" t="s">
        <v>101</v>
      </c>
    </row>
    <row r="60" spans="1:1" x14ac:dyDescent="0.45">
      <c r="A60" t="s">
        <v>102</v>
      </c>
    </row>
    <row r="61" spans="1:1" x14ac:dyDescent="0.45">
      <c r="A61" t="s">
        <v>103</v>
      </c>
    </row>
    <row r="62" spans="1:1" x14ac:dyDescent="0.45">
      <c r="A62" t="s">
        <v>107</v>
      </c>
    </row>
    <row r="63" spans="1:1" x14ac:dyDescent="0.45">
      <c r="A63" t="s">
        <v>108</v>
      </c>
    </row>
    <row r="64" spans="1:1" x14ac:dyDescent="0.45">
      <c r="A64" t="s">
        <v>109</v>
      </c>
    </row>
    <row r="65" spans="1:1" x14ac:dyDescent="0.45">
      <c r="A65" t="s">
        <v>114</v>
      </c>
    </row>
    <row r="66" spans="1:1" x14ac:dyDescent="0.45">
      <c r="A66" t="s">
        <v>110</v>
      </c>
    </row>
    <row r="80" spans="1:1" ht="19.5" thickBot="1" x14ac:dyDescent="0.5">
      <c r="A80" s="35" t="s">
        <v>111</v>
      </c>
    </row>
    <row r="81" spans="1:1" x14ac:dyDescent="0.45">
      <c r="A81" t="s">
        <v>112</v>
      </c>
    </row>
    <row r="82" spans="1:1" x14ac:dyDescent="0.45">
      <c r="A82" t="s">
        <v>113</v>
      </c>
    </row>
    <row r="94" spans="1:1" ht="19.5" thickBot="1" x14ac:dyDescent="0.5">
      <c r="A94" s="35" t="s">
        <v>119</v>
      </c>
    </row>
    <row r="96" spans="1:1" x14ac:dyDescent="0.45">
      <c r="A96" s="43" t="s">
        <v>120</v>
      </c>
    </row>
    <row r="97" spans="1:1" x14ac:dyDescent="0.45">
      <c r="A97" t="s">
        <v>121</v>
      </c>
    </row>
    <row r="99" spans="1:1" x14ac:dyDescent="0.45">
      <c r="A99" s="43" t="s">
        <v>122</v>
      </c>
    </row>
    <row r="100" spans="1:1" x14ac:dyDescent="0.45">
      <c r="A100" t="s">
        <v>123</v>
      </c>
    </row>
    <row r="120" spans="1:1" ht="19.5" thickBot="1" x14ac:dyDescent="0.5">
      <c r="A120" s="35" t="s">
        <v>117</v>
      </c>
    </row>
    <row r="146" spans="1:1" x14ac:dyDescent="0.45">
      <c r="A146" t="s">
        <v>124</v>
      </c>
    </row>
    <row r="147" spans="1:1" x14ac:dyDescent="0.45">
      <c r="A147" t="s">
        <v>125</v>
      </c>
    </row>
    <row r="148" spans="1:1" x14ac:dyDescent="0.45">
      <c r="A148" t="s">
        <v>126</v>
      </c>
    </row>
    <row r="149" spans="1:1" x14ac:dyDescent="0.45">
      <c r="A149" t="s">
        <v>127</v>
      </c>
    </row>
    <row r="150" spans="1:1" x14ac:dyDescent="0.45">
      <c r="A150" t="s">
        <v>128</v>
      </c>
    </row>
    <row r="151" spans="1:1" x14ac:dyDescent="0.45">
      <c r="A151" t="s">
        <v>129</v>
      </c>
    </row>
    <row r="152" spans="1:1" x14ac:dyDescent="0.45">
      <c r="A152" t="s">
        <v>130</v>
      </c>
    </row>
    <row r="153" spans="1:1" x14ac:dyDescent="0.45">
      <c r="A153" t="s">
        <v>131</v>
      </c>
    </row>
    <row r="154" spans="1:1" x14ac:dyDescent="0.45">
      <c r="A154" t="s">
        <v>132</v>
      </c>
    </row>
    <row r="155" spans="1:1" x14ac:dyDescent="0.45">
      <c r="A155" t="s">
        <v>133</v>
      </c>
    </row>
    <row r="156" spans="1:1" x14ac:dyDescent="0.45">
      <c r="A156" t="s">
        <v>134</v>
      </c>
    </row>
    <row r="157" spans="1:1" x14ac:dyDescent="0.45">
      <c r="A157" t="s">
        <v>135</v>
      </c>
    </row>
    <row r="158" spans="1:1" x14ac:dyDescent="0.45">
      <c r="A158" t="s">
        <v>136</v>
      </c>
    </row>
    <row r="159" spans="1:1" x14ac:dyDescent="0.45">
      <c r="A159" s="42" t="s">
        <v>137</v>
      </c>
    </row>
    <row r="160" spans="1:1" x14ac:dyDescent="0.45">
      <c r="A160" s="42" t="s">
        <v>138</v>
      </c>
    </row>
    <row r="161" spans="1:1" x14ac:dyDescent="0.45">
      <c r="A161" s="42" t="s">
        <v>139</v>
      </c>
    </row>
    <row r="162" spans="1:1" x14ac:dyDescent="0.45">
      <c r="A162" s="42" t="s">
        <v>140</v>
      </c>
    </row>
    <row r="163" spans="1:1" x14ac:dyDescent="0.45">
      <c r="A163" s="42" t="s">
        <v>141</v>
      </c>
    </row>
    <row r="164" spans="1:1" x14ac:dyDescent="0.45">
      <c r="A164" s="42" t="s">
        <v>142</v>
      </c>
    </row>
    <row r="165" spans="1:1" x14ac:dyDescent="0.45">
      <c r="A165" s="42" t="s">
        <v>143</v>
      </c>
    </row>
    <row r="166" spans="1:1" x14ac:dyDescent="0.45">
      <c r="A166" s="42" t="s">
        <v>144</v>
      </c>
    </row>
    <row r="167" spans="1:1" x14ac:dyDescent="0.45">
      <c r="A167" s="42" t="s">
        <v>145</v>
      </c>
    </row>
    <row r="169" spans="1:1" ht="19.5" thickBot="1" x14ac:dyDescent="0.5">
      <c r="A169" s="35" t="s">
        <v>146</v>
      </c>
    </row>
    <row r="170" spans="1:1" x14ac:dyDescent="0.45">
      <c r="A170" s="42" t="s">
        <v>148</v>
      </c>
    </row>
    <row r="171" spans="1:1" x14ac:dyDescent="0.45">
      <c r="A171" s="42" t="s">
        <v>160</v>
      </c>
    </row>
    <row r="172" spans="1:1" x14ac:dyDescent="0.45">
      <c r="A172" s="43" t="s">
        <v>147</v>
      </c>
    </row>
    <row r="173" spans="1:1" x14ac:dyDescent="0.45">
      <c r="A173" t="s">
        <v>149</v>
      </c>
    </row>
    <row r="174" spans="1:1" x14ac:dyDescent="0.45">
      <c r="A174" t="s">
        <v>152</v>
      </c>
    </row>
    <row r="175" spans="1:1" x14ac:dyDescent="0.45">
      <c r="A175" t="s">
        <v>150</v>
      </c>
    </row>
    <row r="176" spans="1:1" x14ac:dyDescent="0.45">
      <c r="A176" t="s">
        <v>151</v>
      </c>
    </row>
    <row r="177" spans="1:1" x14ac:dyDescent="0.45">
      <c r="A177" t="s">
        <v>153</v>
      </c>
    </row>
    <row r="178" spans="1:1" x14ac:dyDescent="0.45">
      <c r="A178" t="s">
        <v>154</v>
      </c>
    </row>
    <row r="179" spans="1:1" x14ac:dyDescent="0.45">
      <c r="A179" t="s">
        <v>155</v>
      </c>
    </row>
    <row r="180" spans="1:1" x14ac:dyDescent="0.45">
      <c r="A180" t="s">
        <v>156</v>
      </c>
    </row>
    <row r="181" spans="1:1" x14ac:dyDescent="0.45">
      <c r="A181" t="s">
        <v>157</v>
      </c>
    </row>
    <row r="182" spans="1:1" x14ac:dyDescent="0.45">
      <c r="A182" t="s">
        <v>158</v>
      </c>
    </row>
    <row r="183" spans="1:1" x14ac:dyDescent="0.45">
      <c r="A183" t="s">
        <v>171</v>
      </c>
    </row>
    <row r="184" spans="1:1" x14ac:dyDescent="0.45">
      <c r="A184" t="s">
        <v>159</v>
      </c>
    </row>
    <row r="186" spans="1:1" x14ac:dyDescent="0.45">
      <c r="A186" s="43" t="s">
        <v>161</v>
      </c>
    </row>
    <row r="187" spans="1:1" x14ac:dyDescent="0.45">
      <c r="A187" t="s">
        <v>162</v>
      </c>
    </row>
    <row r="188" spans="1:1" x14ac:dyDescent="0.45">
      <c r="A188" t="s">
        <v>163</v>
      </c>
    </row>
    <row r="189" spans="1:1" x14ac:dyDescent="0.45">
      <c r="A189" t="s">
        <v>154</v>
      </c>
    </row>
    <row r="190" spans="1:1" x14ac:dyDescent="0.45">
      <c r="A190" t="s">
        <v>164</v>
      </c>
    </row>
    <row r="191" spans="1:1" x14ac:dyDescent="0.45">
      <c r="A191" t="s">
        <v>165</v>
      </c>
    </row>
    <row r="192" spans="1:1" x14ac:dyDescent="0.45">
      <c r="A192" t="s">
        <v>166</v>
      </c>
    </row>
    <row r="193" spans="1:1" x14ac:dyDescent="0.45">
      <c r="A193" t="s">
        <v>170</v>
      </c>
    </row>
    <row r="194" spans="1:1" x14ac:dyDescent="0.45">
      <c r="A194" t="s">
        <v>167</v>
      </c>
    </row>
    <row r="200" spans="1:1" x14ac:dyDescent="0.45">
      <c r="A200" s="44" t="s">
        <v>169</v>
      </c>
    </row>
    <row r="201" spans="1:1" x14ac:dyDescent="0.45">
      <c r="A201" t="s">
        <v>168</v>
      </c>
    </row>
    <row r="202" spans="1:1" x14ac:dyDescent="0.45">
      <c r="A202" t="s">
        <v>163</v>
      </c>
    </row>
    <row r="203" spans="1:1" x14ac:dyDescent="0.45">
      <c r="A203" t="s">
        <v>154</v>
      </c>
    </row>
    <row r="204" spans="1:1" x14ac:dyDescent="0.45">
      <c r="A204" t="s">
        <v>164</v>
      </c>
    </row>
    <row r="205" spans="1:1" x14ac:dyDescent="0.45">
      <c r="A205" t="s">
        <v>165</v>
      </c>
    </row>
    <row r="206" spans="1:1" x14ac:dyDescent="0.45">
      <c r="A206" t="s">
        <v>166</v>
      </c>
    </row>
    <row r="207" spans="1:1" x14ac:dyDescent="0.45">
      <c r="A207" t="s">
        <v>172</v>
      </c>
    </row>
    <row r="208" spans="1:1" x14ac:dyDescent="0.45">
      <c r="A208" t="s">
        <v>167</v>
      </c>
    </row>
    <row r="210" spans="1:1" ht="19.5" thickBot="1" x14ac:dyDescent="0.5">
      <c r="A210" s="35" t="s">
        <v>178</v>
      </c>
    </row>
    <row r="232" spans="1:1" x14ac:dyDescent="0.45">
      <c r="A232" t="s">
        <v>179</v>
      </c>
    </row>
    <row r="233" spans="1:1" x14ac:dyDescent="0.45">
      <c r="A233" t="s">
        <v>180</v>
      </c>
    </row>
    <row r="234" spans="1:1" x14ac:dyDescent="0.45">
      <c r="A234" t="s">
        <v>181</v>
      </c>
    </row>
    <row r="235" spans="1:1" x14ac:dyDescent="0.45">
      <c r="A235" t="s">
        <v>202</v>
      </c>
    </row>
    <row r="236" spans="1:1" x14ac:dyDescent="0.45">
      <c r="A236" t="s">
        <v>182</v>
      </c>
    </row>
    <row r="237" spans="1:1" x14ac:dyDescent="0.45">
      <c r="A237" t="s">
        <v>183</v>
      </c>
    </row>
    <row r="238" spans="1:1" x14ac:dyDescent="0.45">
      <c r="A238" t="s">
        <v>184</v>
      </c>
    </row>
    <row r="239" spans="1:1" x14ac:dyDescent="0.45">
      <c r="A239" t="s">
        <v>185</v>
      </c>
    </row>
    <row r="240" spans="1:1" x14ac:dyDescent="0.45">
      <c r="A240" t="s">
        <v>186</v>
      </c>
    </row>
    <row r="241" spans="1:1" x14ac:dyDescent="0.45">
      <c r="A241" t="s">
        <v>187</v>
      </c>
    </row>
    <row r="242" spans="1:1" x14ac:dyDescent="0.45">
      <c r="A242" t="s">
        <v>188</v>
      </c>
    </row>
    <row r="243" spans="1:1" x14ac:dyDescent="0.45">
      <c r="A243" t="s">
        <v>189</v>
      </c>
    </row>
    <row r="245" spans="1:1" ht="19.5" thickBot="1" x14ac:dyDescent="0.5">
      <c r="A245" s="35" t="s">
        <v>191</v>
      </c>
    </row>
    <row r="246" spans="1:1" x14ac:dyDescent="0.45">
      <c r="A246" t="s">
        <v>192</v>
      </c>
    </row>
    <row r="248" spans="1:1" x14ac:dyDescent="0.45">
      <c r="A248" s="44" t="s">
        <v>193</v>
      </c>
    </row>
    <row r="249" spans="1:1" x14ac:dyDescent="0.45">
      <c r="A249" t="s">
        <v>194</v>
      </c>
    </row>
    <row r="250" spans="1:1" x14ac:dyDescent="0.45">
      <c r="A250" t="s">
        <v>195</v>
      </c>
    </row>
    <row r="251" spans="1:1" x14ac:dyDescent="0.45">
      <c r="A251" t="s">
        <v>196</v>
      </c>
    </row>
    <row r="253" spans="1:1" x14ac:dyDescent="0.45">
      <c r="A253" s="44" t="s">
        <v>197</v>
      </c>
    </row>
    <row r="254" spans="1:1" x14ac:dyDescent="0.45">
      <c r="A254" t="s">
        <v>198</v>
      </c>
    </row>
    <row r="255" spans="1:1" x14ac:dyDescent="0.45">
      <c r="A255" t="s">
        <v>199</v>
      </c>
    </row>
    <row r="257" spans="1:1" x14ac:dyDescent="0.45">
      <c r="A257" s="44" t="s">
        <v>200</v>
      </c>
    </row>
    <row r="258" spans="1:1" x14ac:dyDescent="0.45">
      <c r="A258" t="s">
        <v>198</v>
      </c>
    </row>
    <row r="259" spans="1:1" x14ac:dyDescent="0.45">
      <c r="A259" t="s">
        <v>201</v>
      </c>
    </row>
  </sheetData>
  <phoneticPr fontId="2"/>
  <hyperlinks>
    <hyperlink ref="A9" location="仕様書!A1" display="プログラム使用方法" xr:uid="{EFFDA591-F9DF-4999-BD4A-DB64A860E08B}"/>
    <hyperlink ref="A10" location="仕様書!A40" display="住所録シート配置説明" xr:uid="{9EAEF240-CF6D-41F3-B538-D5CDC65A370C}"/>
    <hyperlink ref="A11" location="仕様書!A94" display="住所録シート使用方法" xr:uid="{703330AA-9D39-47BF-95F0-17409AF77E86}"/>
    <hyperlink ref="A12" location="仕様書!A120" display="メール配信シート配置説明" xr:uid="{C9928C08-91B5-41F6-8C8E-FD806F00321E}"/>
    <hyperlink ref="A13" location="仕様書!A169" display="メール配信シート使用方法" xr:uid="{413C6876-A8C5-43AE-AB1C-143B0BA70BFB}"/>
    <hyperlink ref="A14" location="仕様書!A210" display="FAX作成シート配置説明" xr:uid="{09FE7D43-CBBB-4E93-9178-0F5E593CD4A5}"/>
    <hyperlink ref="A15" location="仕様書!A245" display="FAX作成シート使用方法" xr:uid="{FC7CD20E-E886-40F5-8062-B6ECEFF8B3FB}"/>
  </hyperlinks>
  <pageMargins left="0.23622047244094491" right="0.23622047244094491" top="0.74803149606299213" bottom="0.74803149606299213" header="0.31496062992125984" footer="0.31496062992125984"/>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EF0DDB7F56279438905B2B80DCEAABC" ma:contentTypeVersion="2" ma:contentTypeDescription="Create a new document." ma:contentTypeScope="" ma:versionID="eef39a74366012c5253c83e1126755f0">
  <xsd:schema xmlns:xsd="http://www.w3.org/2001/XMLSchema" xmlns:xs="http://www.w3.org/2001/XMLSchema" xmlns:p="http://schemas.microsoft.com/office/2006/metadata/properties" xmlns:ns3="3dff110b-588f-4873-9c86-ee1f51eea610" targetNamespace="http://schemas.microsoft.com/office/2006/metadata/properties" ma:root="true" ma:fieldsID="08b16d955939164734515945be2c2a36" ns3:_="">
    <xsd:import namespace="3dff110b-588f-4873-9c86-ee1f51eea610"/>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ff110b-588f-4873-9c86-ee1f51eea6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762384F-84DB-4855-855E-EB0CF25FC424}">
  <ds:schemaRefs>
    <ds:schemaRef ds:uri="http://schemas.microsoft.com/sharepoint/v3/contenttype/forms"/>
  </ds:schemaRefs>
</ds:datastoreItem>
</file>

<file path=customXml/itemProps2.xml><?xml version="1.0" encoding="utf-8"?>
<ds:datastoreItem xmlns:ds="http://schemas.openxmlformats.org/officeDocument/2006/customXml" ds:itemID="{CAAE3E38-CFCF-4DC1-8310-6639BA3CD6C9}">
  <ds:schemaRefs>
    <ds:schemaRef ds:uri="http://schemas.microsoft.com/office/2006/documentManagement/types"/>
    <ds:schemaRef ds:uri="http://schemas.microsoft.com/office/2006/metadata/properties"/>
    <ds:schemaRef ds:uri="3dff110b-588f-4873-9c86-ee1f51eea610"/>
    <ds:schemaRef ds:uri="http://www.w3.org/XML/1998/namespace"/>
    <ds:schemaRef ds:uri="http://purl.org/dc/elements/1.1/"/>
    <ds:schemaRef ds:uri="http://schemas.openxmlformats.org/package/2006/metadata/core-properties"/>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11F010C2-7813-453B-88C4-DE27577406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ff110b-588f-4873-9c86-ee1f51eea6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住所録</vt:lpstr>
      <vt:lpstr>メール配信</vt:lpstr>
      <vt:lpstr>FAX作成</vt:lpstr>
      <vt:lpstr>仕様書</vt:lpstr>
      <vt:lpstr>FAX作成!Print_Area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2020-11-26T07:52:16Z</cp:lastPrinted>
  <dcterms:created xsi:type="dcterms:W3CDTF">2020-10-26T05:12:32Z</dcterms:created>
  <dcterms:modified xsi:type="dcterms:W3CDTF">2020-11-27T00:45:03Z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0x010100AEF0DDB7F56279438905B2B80DCEAABC</vt:lpwstr>
  </property>
</Properties>
</file>